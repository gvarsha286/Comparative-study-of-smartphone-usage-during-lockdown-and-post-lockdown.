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Varsha &amp; Sapna\Documents\"/>
    </mc:Choice>
  </mc:AlternateContent>
  <xr:revisionPtr revIDLastSave="0" documentId="13_ncr:1_{C5CF25F5-64F9-4530-BC37-8270391C55EC}" xr6:coauthVersionLast="47" xr6:coauthVersionMax="47" xr10:uidLastSave="{00000000-0000-0000-0000-000000000000}"/>
  <bookViews>
    <workbookView xWindow="2304" yWindow="2304" windowWidth="17280" windowHeight="9420" activeTab="3" xr2:uid="{00000000-000D-0000-FFFF-FFFF00000000}"/>
  </bookViews>
  <sheets>
    <sheet name="Sheet6" sheetId="11" r:id="rId1"/>
    <sheet name="Form responses 1" sheetId="1" r:id="rId2"/>
    <sheet name="Sheet1" sheetId="4" r:id="rId3"/>
    <sheet name="Sheet2" sheetId="3" r:id="rId4"/>
    <sheet name="Sheet3" sheetId="5" r:id="rId5"/>
    <sheet name="Sheet4" sheetId="10" r:id="rId6"/>
    <sheet name="Sheet5" sheetId="7" r:id="rId7"/>
    <sheet name="Sheet7" sheetId="9" r:id="rId8"/>
  </sheet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6" i="4"/>
  <c r="H5" i="4"/>
  <c r="L90" i="3"/>
  <c r="M90" i="3"/>
  <c r="M89" i="3"/>
  <c r="M88" i="3"/>
  <c r="M87" i="3"/>
  <c r="M86" i="3"/>
  <c r="M85" i="3"/>
  <c r="K90" i="3"/>
  <c r="M77" i="3"/>
  <c r="L77" i="3"/>
  <c r="K77" i="3"/>
  <c r="D90" i="3"/>
  <c r="D89" i="3"/>
  <c r="D88" i="3"/>
  <c r="D80" i="3"/>
  <c r="D81" i="3"/>
  <c r="D79" i="3"/>
  <c r="D78" i="3"/>
  <c r="D77" i="3"/>
  <c r="D76" i="3"/>
  <c r="D75" i="3"/>
  <c r="C81" i="3"/>
  <c r="B81" i="3"/>
  <c r="D74" i="3"/>
  <c r="D73" i="3"/>
  <c r="B19" i="7"/>
  <c r="H4" i="4"/>
  <c r="K105" i="1"/>
  <c r="G105" i="1"/>
  <c r="H105" i="1"/>
  <c r="I105" i="1"/>
  <c r="J105" i="1"/>
  <c r="L105" i="1"/>
  <c r="M105" i="1"/>
  <c r="N105" i="1"/>
  <c r="E105" i="1"/>
  <c r="C17" i="10"/>
  <c r="B17" i="10"/>
  <c r="C15" i="10"/>
  <c r="C16" i="10"/>
  <c r="B16" i="10"/>
  <c r="B15" i="10"/>
  <c r="B22" i="10" s="1"/>
  <c r="I19" i="9" l="1"/>
  <c r="D14" i="7" l="1"/>
  <c r="C14" i="7"/>
  <c r="B14" i="7"/>
  <c r="D13" i="7"/>
  <c r="C13" i="7"/>
  <c r="B13" i="7"/>
  <c r="I17" i="5"/>
</calcChain>
</file>

<file path=xl/sharedStrings.xml><?xml version="1.0" encoding="utf-8"?>
<sst xmlns="http://schemas.openxmlformats.org/spreadsheetml/2006/main" count="1058" uniqueCount="308">
  <si>
    <t>Timestamp</t>
  </si>
  <si>
    <t>Your name</t>
  </si>
  <si>
    <t xml:space="preserve">Class </t>
  </si>
  <si>
    <t>Gender</t>
  </si>
  <si>
    <t xml:space="preserve">Age </t>
  </si>
  <si>
    <t>Do you own a smartphone ?</t>
  </si>
  <si>
    <t>How many hours do you spend on your mobile phone during ? [Lockdown]</t>
  </si>
  <si>
    <t>How many hours do you spend on your mobile phone during ? [post-Lockdown]</t>
  </si>
  <si>
    <t>How many hours do you spend in ? [online lectures]</t>
  </si>
  <si>
    <t>How many hours do you spend in ? [ offline lectures]</t>
  </si>
  <si>
    <t>Number of hours you spend on self studies? [In lockdown]</t>
  </si>
  <si>
    <t>Number of hours you spend on self studies? [In post-lockdown]</t>
  </si>
  <si>
    <t>How would you rate the following? [online classes]</t>
  </si>
  <si>
    <t>How would you rate the following? [offline classes]</t>
  </si>
  <si>
    <t xml:space="preserve">What are the challenges you face during online classes which does not occurs while studing offline ? </t>
  </si>
  <si>
    <t>Do you feel the "frequency of internet usage" has increased since you got your mobile device ?</t>
  </si>
  <si>
    <t>Do you think number of hours you spend on smartphone has reduced since the lectures are now offline ?</t>
  </si>
  <si>
    <t xml:space="preserve">Janhavi Kulkarni </t>
  </si>
  <si>
    <t xml:space="preserve">T. Y. Bsc </t>
  </si>
  <si>
    <t>Female</t>
  </si>
  <si>
    <t>Yes</t>
  </si>
  <si>
    <t>Distraction, Face to face intraction</t>
  </si>
  <si>
    <t xml:space="preserve">shivanihundare@gmail.com </t>
  </si>
  <si>
    <t>TyBsc</t>
  </si>
  <si>
    <t>Network issue, Distraction, Face to face intraction</t>
  </si>
  <si>
    <t>Om</t>
  </si>
  <si>
    <t>Tybsc</t>
  </si>
  <si>
    <t>Male</t>
  </si>
  <si>
    <t>Network issue</t>
  </si>
  <si>
    <t>Alok</t>
  </si>
  <si>
    <t>Power cut</t>
  </si>
  <si>
    <t>Vishakha Singh</t>
  </si>
  <si>
    <t>TYBsc</t>
  </si>
  <si>
    <t>Good</t>
  </si>
  <si>
    <t>Shravan jaiswal</t>
  </si>
  <si>
    <t>TYBSC</t>
  </si>
  <si>
    <t xml:space="preserve">Sweety </t>
  </si>
  <si>
    <t>fybaf</t>
  </si>
  <si>
    <t>Network issue, Face to face intraction</t>
  </si>
  <si>
    <t xml:space="preserve">Atul </t>
  </si>
  <si>
    <t>11th</t>
  </si>
  <si>
    <t xml:space="preserve">Chinmay </t>
  </si>
  <si>
    <t xml:space="preserve">First year </t>
  </si>
  <si>
    <t>No</t>
  </si>
  <si>
    <t xml:space="preserve">SAURABH SHIVPRAKASH TRIPATHI </t>
  </si>
  <si>
    <t xml:space="preserve">TYBSC </t>
  </si>
  <si>
    <t>Network issue, Power cut, Distraction, Face to face intraction</t>
  </si>
  <si>
    <t>Shraddha Haribhau Bhalerao</t>
  </si>
  <si>
    <t>Shah priti</t>
  </si>
  <si>
    <t>Ty bsc</t>
  </si>
  <si>
    <t>Rohan Gupta</t>
  </si>
  <si>
    <t>TY.BSC</t>
  </si>
  <si>
    <t>Khushbu jaiswar</t>
  </si>
  <si>
    <t xml:space="preserve">3rd year GNM nursing </t>
  </si>
  <si>
    <t>Alok upadhyay</t>
  </si>
  <si>
    <t>Face to face intraction</t>
  </si>
  <si>
    <t>Sandeep Jaiswar</t>
  </si>
  <si>
    <t>D pharmacy</t>
  </si>
  <si>
    <t>Ansar</t>
  </si>
  <si>
    <t>12th</t>
  </si>
  <si>
    <t>Distraction</t>
  </si>
  <si>
    <t xml:space="preserve">Vaishnavi Singh </t>
  </si>
  <si>
    <t xml:space="preserve">Tybsc Statistics </t>
  </si>
  <si>
    <t>Network issue, Distraction</t>
  </si>
  <si>
    <t>Rohit Mishra</t>
  </si>
  <si>
    <t>B Pharmacy</t>
  </si>
  <si>
    <t>Network issue, Power cut, Distraction</t>
  </si>
  <si>
    <t>Simran Thorawshe</t>
  </si>
  <si>
    <t>Master's</t>
  </si>
  <si>
    <t>Anand Pothraj</t>
  </si>
  <si>
    <t>TYBSC. CS</t>
  </si>
  <si>
    <t>Sakshi Vinayak Mohit</t>
  </si>
  <si>
    <t xml:space="preserve">TE </t>
  </si>
  <si>
    <t>Shraddha Shukla</t>
  </si>
  <si>
    <t>M.com</t>
  </si>
  <si>
    <t>Anchal Yadav</t>
  </si>
  <si>
    <t xml:space="preserve">M.com </t>
  </si>
  <si>
    <t>Shivam gupta</t>
  </si>
  <si>
    <t>TY</t>
  </si>
  <si>
    <t>Atul</t>
  </si>
  <si>
    <t>Power cut, Distraction</t>
  </si>
  <si>
    <t>Vikas Gupta</t>
  </si>
  <si>
    <t>TYBSc</t>
  </si>
  <si>
    <t>Surbhi rane</t>
  </si>
  <si>
    <t>tybsc</t>
  </si>
  <si>
    <t>Babita</t>
  </si>
  <si>
    <t>Suraj Gupta</t>
  </si>
  <si>
    <t>Sybsc</t>
  </si>
  <si>
    <t>Aman gupta</t>
  </si>
  <si>
    <t>9th</t>
  </si>
  <si>
    <t>Gupta salonee shitla</t>
  </si>
  <si>
    <t xml:space="preserve">10th </t>
  </si>
  <si>
    <t>Jagdish</t>
  </si>
  <si>
    <t>B.sc</t>
  </si>
  <si>
    <t xml:space="preserve">Shaikh sana </t>
  </si>
  <si>
    <t>10th</t>
  </si>
  <si>
    <t>RV</t>
  </si>
  <si>
    <t>Tybcom</t>
  </si>
  <si>
    <t>Jaiswar Payal</t>
  </si>
  <si>
    <t>Sanjay yadav</t>
  </si>
  <si>
    <t>Ty-it</t>
  </si>
  <si>
    <t>Shaikh Shireen Anwar</t>
  </si>
  <si>
    <t>Abhishek</t>
  </si>
  <si>
    <t>FY</t>
  </si>
  <si>
    <t>Sandeep virendra bind</t>
  </si>
  <si>
    <t>Darshan</t>
  </si>
  <si>
    <t>Network issue, Power cut, Face to face intraction</t>
  </si>
  <si>
    <t>Aayushi Pandey</t>
  </si>
  <si>
    <t>BA hons (psychology)</t>
  </si>
  <si>
    <t>BA(hons) 2nd year</t>
  </si>
  <si>
    <t xml:space="preserve">Taavishi </t>
  </si>
  <si>
    <t>Mansi Singh</t>
  </si>
  <si>
    <t>BA (Hons) Psychology</t>
  </si>
  <si>
    <t>Deepak yadav</t>
  </si>
  <si>
    <t>Mcom</t>
  </si>
  <si>
    <t>Lakshita Poojari</t>
  </si>
  <si>
    <t>Simran yadav</t>
  </si>
  <si>
    <t xml:space="preserve">FYBSC </t>
  </si>
  <si>
    <t xml:space="preserve">Distraction, Lack of concentration </t>
  </si>
  <si>
    <t xml:space="preserve">Dewashya Dubey </t>
  </si>
  <si>
    <t>Priyanshi Yadav</t>
  </si>
  <si>
    <t>Aditya Dubey</t>
  </si>
  <si>
    <t xml:space="preserve">SE </t>
  </si>
  <si>
    <t>Varsha gupta</t>
  </si>
  <si>
    <t>Network issue, Power cut</t>
  </si>
  <si>
    <t>Krishna rajendra jaiswal</t>
  </si>
  <si>
    <t>SY</t>
  </si>
  <si>
    <t>Rohit Gupta</t>
  </si>
  <si>
    <t>TY.BBI</t>
  </si>
  <si>
    <t>Khushboo Gupta</t>
  </si>
  <si>
    <t>Sy.Bcom</t>
  </si>
  <si>
    <t>Siddhesh chavan</t>
  </si>
  <si>
    <t>Devanshu pandey</t>
  </si>
  <si>
    <t>Ty bsc.it</t>
  </si>
  <si>
    <t>Vikas kumar ajay singh</t>
  </si>
  <si>
    <t>Ty BMS</t>
  </si>
  <si>
    <t>Sumit yada</t>
  </si>
  <si>
    <t>Fahad</t>
  </si>
  <si>
    <t>TY.BA</t>
  </si>
  <si>
    <t>Niraj Vishwakarma</t>
  </si>
  <si>
    <t xml:space="preserve">Alok </t>
  </si>
  <si>
    <t>Ritendra</t>
  </si>
  <si>
    <t>Anas</t>
  </si>
  <si>
    <t xml:space="preserve">Riya yadav </t>
  </si>
  <si>
    <t>TY-IT</t>
  </si>
  <si>
    <t>Pawan Dixit</t>
  </si>
  <si>
    <t>Vivek gupta</t>
  </si>
  <si>
    <t>FY.BA</t>
  </si>
  <si>
    <t xml:space="preserve">Network issue, Power cut, Distraction, Face to face intraction, Noise disturbing </t>
  </si>
  <si>
    <t>Sumit mourya</t>
  </si>
  <si>
    <t>Aaysuh Singh</t>
  </si>
  <si>
    <t>Tybba</t>
  </si>
  <si>
    <t>Sandeep</t>
  </si>
  <si>
    <t>Shreekant Ankush Kamble</t>
  </si>
  <si>
    <t>Utkarsh tiwari ji</t>
  </si>
  <si>
    <t>Saurabh Singh</t>
  </si>
  <si>
    <t>Nothing</t>
  </si>
  <si>
    <t>Ladli Bhagat</t>
  </si>
  <si>
    <t>Aniket</t>
  </si>
  <si>
    <t>Ty bcom</t>
  </si>
  <si>
    <t>Anushka</t>
  </si>
  <si>
    <t xml:space="preserve">Yash Pravin Lavhangade </t>
  </si>
  <si>
    <t xml:space="preserve">TY </t>
  </si>
  <si>
    <t>Sakshi Deshpande</t>
  </si>
  <si>
    <t xml:space="preserve">Masters </t>
  </si>
  <si>
    <t>Shubham Shedekar</t>
  </si>
  <si>
    <t>Nilesh chutiya</t>
  </si>
  <si>
    <t>Anurag</t>
  </si>
  <si>
    <t>B pharmacy</t>
  </si>
  <si>
    <t>Pranav</t>
  </si>
  <si>
    <t>Jyoti Shukla</t>
  </si>
  <si>
    <t>T. Y. Bsc</t>
  </si>
  <si>
    <t>Atharva</t>
  </si>
  <si>
    <t xml:space="preserve">Rashi Kadam </t>
  </si>
  <si>
    <t>Jr.Msc</t>
  </si>
  <si>
    <t xml:space="preserve">Isha Kulkarni </t>
  </si>
  <si>
    <t xml:space="preserve">FY </t>
  </si>
  <si>
    <t>Harsh Rai</t>
  </si>
  <si>
    <t>B.A. hons</t>
  </si>
  <si>
    <t xml:space="preserve">Aniket Singh </t>
  </si>
  <si>
    <t>Avnish</t>
  </si>
  <si>
    <t>Ty b.com</t>
  </si>
  <si>
    <t>Krishna</t>
  </si>
  <si>
    <t>MSc 2nd year</t>
  </si>
  <si>
    <t>Shubham Joshi</t>
  </si>
  <si>
    <t>Ty BBA</t>
  </si>
  <si>
    <t>Vikas</t>
  </si>
  <si>
    <t>BE first year</t>
  </si>
  <si>
    <t>Network issue, Power cut, Distraction, Face to face intraction, Phone problem battery issue</t>
  </si>
  <si>
    <t>Ritesh Kumar Singh</t>
  </si>
  <si>
    <t>Khushi singh</t>
  </si>
  <si>
    <t>Bcom 1 st year</t>
  </si>
  <si>
    <t>Anand</t>
  </si>
  <si>
    <t>Second year</t>
  </si>
  <si>
    <t>Bhanu pratap singh</t>
  </si>
  <si>
    <t>Sy bcom</t>
  </si>
  <si>
    <t>Sunny yadav</t>
  </si>
  <si>
    <t>Vishal singh</t>
  </si>
  <si>
    <t>Bsc nursing</t>
  </si>
  <si>
    <t>Darshikha Singh</t>
  </si>
  <si>
    <t>Tanu singh</t>
  </si>
  <si>
    <t>15-18=1</t>
  </si>
  <si>
    <t>18-21 = 2</t>
  </si>
  <si>
    <t>age</t>
  </si>
  <si>
    <t>no. of hours</t>
  </si>
  <si>
    <t>0-2 = 4</t>
  </si>
  <si>
    <t>2-4 = 5</t>
  </si>
  <si>
    <t>4-6 = 6</t>
  </si>
  <si>
    <t>6-8 = 7</t>
  </si>
  <si>
    <t>8-10 = 8</t>
  </si>
  <si>
    <t>10-12 = 9</t>
  </si>
  <si>
    <t>12-14 = 10</t>
  </si>
  <si>
    <t>14-16 = 11</t>
  </si>
  <si>
    <t>assumption</t>
  </si>
  <si>
    <t xml:space="preserve">lockdown </t>
  </si>
  <si>
    <t>post-lockdown</t>
  </si>
  <si>
    <t>N.H.M</t>
  </si>
  <si>
    <t>0-2</t>
  </si>
  <si>
    <t>2-4</t>
  </si>
  <si>
    <t>4-6</t>
  </si>
  <si>
    <t>6-8</t>
  </si>
  <si>
    <t>8-10</t>
  </si>
  <si>
    <t>10-12</t>
  </si>
  <si>
    <t>12-14</t>
  </si>
  <si>
    <t>14-16</t>
  </si>
  <si>
    <t>total</t>
  </si>
  <si>
    <t>N.H.ON LECTURE</t>
  </si>
  <si>
    <t xml:space="preserve">online </t>
  </si>
  <si>
    <t>offline</t>
  </si>
  <si>
    <t>N.H.IN SELF STUDY</t>
  </si>
  <si>
    <t>RATING</t>
  </si>
  <si>
    <t>2-</t>
  </si>
  <si>
    <t>4-</t>
  </si>
  <si>
    <t>6-</t>
  </si>
  <si>
    <t>8-</t>
  </si>
  <si>
    <t>10-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</si>
  <si>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</si>
  <si>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</si>
  <si>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</si>
  <si>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</si>
  <si>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</si>
  <si>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</si>
  <si>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</si>
  <si>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</si>
  <si>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</si>
  <si>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</si>
  <si>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</si>
  <si>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</si>
  <si>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mean difference </t>
  </si>
  <si>
    <t xml:space="preserve">s.d difference </t>
  </si>
  <si>
    <t xml:space="preserve">standard error of difference </t>
  </si>
  <si>
    <r>
      <t xml:space="preserve">t alpha half 90% </t>
    </r>
    <r>
      <rPr>
        <sz val="14"/>
        <color rgb="FF000000"/>
        <rFont val="Calibri"/>
        <family val="2"/>
      </rPr>
      <t>α</t>
    </r>
  </si>
  <si>
    <t xml:space="preserve">lower confidence level </t>
  </si>
  <si>
    <t>upper confidence level</t>
  </si>
  <si>
    <t>H1= do not reject Ho</t>
  </si>
  <si>
    <r>
      <t>Ho:</t>
    </r>
    <r>
      <rPr>
        <sz val="16"/>
        <color rgb="FF000000"/>
        <rFont val="Calibri"/>
        <family val="2"/>
      </rPr>
      <t>μ=0</t>
    </r>
  </si>
  <si>
    <r>
      <rPr>
        <sz val="14"/>
        <color rgb="FF000000"/>
        <rFont val="Arial"/>
        <family val="2"/>
      </rPr>
      <t>H1:μ</t>
    </r>
    <r>
      <rPr>
        <sz val="14"/>
        <color rgb="FF000000"/>
        <rFont val="Calibri"/>
        <family val="2"/>
      </rPr>
      <t>≠</t>
    </r>
    <r>
      <rPr>
        <sz val="14"/>
        <color rgb="FF000000"/>
        <rFont val="Arial"/>
        <family val="2"/>
      </rPr>
      <t>0</t>
    </r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</si>
  <si>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</si>
  <si>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</si>
  <si>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</si>
  <si>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</si>
  <si>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</si>
  <si>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</si>
  <si>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</si>
  <si>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</si>
  <si>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</si>
  <si>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</si>
  <si>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</si>
  <si>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</si>
  <si>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Two-Sample Assuming Equal Variances</t>
  </si>
  <si>
    <t>Pooled Variance</t>
  </si>
  <si>
    <t xml:space="preserve">hypothesis : students spend more no. of hours in online lectures then offline  lectures </t>
  </si>
  <si>
    <r>
      <t xml:space="preserve">the no. of hours in spend in online lectures (M =5.85 ,SD = 0.783349 ,N =100) was hypothesied to be greater than the no. of hours spend in offline (M =5.82 ,SD = 0.796203 ,N = 100) . This difference was significant </t>
    </r>
    <r>
      <rPr>
        <i/>
        <sz val="10"/>
        <color rgb="FF000000"/>
        <rFont val="Arial"/>
        <family val="2"/>
      </rPr>
      <t xml:space="preserve">t(198)= </t>
    </r>
    <r>
      <rPr>
        <sz val="10"/>
        <color rgb="FF000000"/>
        <rFont val="Arial"/>
        <family val="2"/>
      </rPr>
      <t>0.662851 ,</t>
    </r>
    <r>
      <rPr>
        <i/>
        <sz val="10"/>
        <color rgb="FF000000"/>
        <rFont val="Arial"/>
        <family val="2"/>
      </rPr>
      <t>p=</t>
    </r>
    <r>
      <rPr>
        <sz val="10"/>
        <color rgb="FF000000"/>
        <rFont val="Arial"/>
        <family val="2"/>
      </rPr>
      <t>0.39426291(1 tailed )</t>
    </r>
  </si>
  <si>
    <t xml:space="preserve">Ho = there is no significant difference between the avg no. of hours spend on mobile phone </t>
  </si>
  <si>
    <t>Row Labels</t>
  </si>
  <si>
    <t>Grand Total</t>
  </si>
  <si>
    <t>Column Labels</t>
  </si>
  <si>
    <t>Count of Gender</t>
  </si>
  <si>
    <t xml:space="preserve">Ho:there is no significant association between gender and age </t>
  </si>
  <si>
    <t>p&lt;0.05</t>
  </si>
  <si>
    <t>p&gt;0.05</t>
  </si>
  <si>
    <t>Do not reject Ho</t>
  </si>
  <si>
    <t>Reject Ho</t>
  </si>
  <si>
    <t xml:space="preserve">Pvalue </t>
  </si>
  <si>
    <t xml:space="preserve">conclusion </t>
  </si>
  <si>
    <t xml:space="preserve">0.115363&gt;0.05 </t>
  </si>
  <si>
    <t xml:space="preserve">therfore we do not reject Ho </t>
  </si>
  <si>
    <t xml:space="preserve">hypothesis : students spend more no. of hours in lockdown  then in post-lockdown </t>
  </si>
  <si>
    <r>
      <t xml:space="preserve">the no. of hours in spend in lockdown (M =3.4 ,SD = 1091749 ,N =100) was hypothesied to be less than the no. of hours spend in post-lockdown (M =3.58 ,SD =1.870451  ,N = 100) . This difference was significant </t>
    </r>
    <r>
      <rPr>
        <i/>
        <sz val="10"/>
        <color rgb="FF000000"/>
        <rFont val="Arial"/>
        <family val="2"/>
      </rPr>
      <t>t(198)= -0.420778918</t>
    </r>
    <r>
      <rPr>
        <sz val="10"/>
        <color rgb="FF000000"/>
        <rFont val="Arial"/>
        <family val="2"/>
      </rPr>
      <t xml:space="preserve"> ,</t>
    </r>
    <r>
      <rPr>
        <i/>
        <sz val="10"/>
        <color rgb="FF000000"/>
        <rFont val="Arial"/>
        <family val="2"/>
      </rPr>
      <t>p=0.2511925</t>
    </r>
    <r>
      <rPr>
        <sz val="10"/>
        <color rgb="FF000000"/>
        <rFont val="Arial"/>
        <family val="2"/>
      </rPr>
      <t>(1 tailed )</t>
    </r>
  </si>
  <si>
    <t xml:space="preserve">since there is no association between gender and age </t>
  </si>
  <si>
    <t xml:space="preserve">Sum of Age </t>
  </si>
  <si>
    <t xml:space="preserve">0.9334706 &gt;0.05 </t>
  </si>
  <si>
    <t>Ho:there is no significant association between age and the frequency of which they use internet</t>
  </si>
  <si>
    <t>since there is no association between age and the frequency of which they use internet</t>
  </si>
  <si>
    <t>average</t>
  </si>
  <si>
    <t>range</t>
  </si>
  <si>
    <t>21-25 =3</t>
  </si>
  <si>
    <t>18-21</t>
  </si>
  <si>
    <t xml:space="preserve">pvalue is &lt; 0.05 </t>
  </si>
  <si>
    <t xml:space="preserve">therfore we reject Ho </t>
  </si>
  <si>
    <t xml:space="preserve">therfore there is signicant diffrence between the average no. of hours spend on mobile phone </t>
  </si>
  <si>
    <t>Count of How many hours do you spend on your mobile phone during ? [Lockdown]</t>
  </si>
  <si>
    <t>Count of How many hours do you spend on your mobile phone during ? [post-Lockdown]</t>
  </si>
  <si>
    <t>Values</t>
  </si>
  <si>
    <t>Using your samrtphone more than needed is good or Bad ?</t>
  </si>
  <si>
    <t>Bad</t>
  </si>
  <si>
    <t>online lectures</t>
  </si>
  <si>
    <t>offline lectures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</si>
</sst>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6" x14ac:knownFonts="1"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2"/>
      <color theme="1"/>
      <name val="Arial"/>
    </font>
    <font>
      <sz val="12"/>
      <color rgb="FF000000"/>
      <name val="Roboto"/>
    </font>
    <font>
      <sz val="8"/>
      <color rgb="FF000000"/>
      <name val="Arial"/>
      <family val="2"/>
    </font>
    <font>
      <sz val="8"/>
      <name val="Arial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sz val="16"/>
      <color rgb="FF000000"/>
      <name val="Calibri"/>
      <family val="2"/>
    </font>
    <font>
      <sz val="10"/>
      <color theme="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1" xfId="0" applyFont="1" applyBorder="1"/>
    <xf numFmtId="0" fontId="4" fillId="0" borderId="0" xfId="0" applyFont="1" applyAlignment="1"/>
    <xf numFmtId="0" fontId="4" fillId="0" borderId="0" xfId="0" applyFont="1"/>
    <xf numFmtId="0" fontId="5" fillId="2" borderId="0" xfId="0" applyFont="1" applyFill="1"/>
    <xf numFmtId="0" fontId="1" fillId="0" borderId="0" xfId="0" applyNumberFormat="1" applyFont="1" applyAlignment="1"/>
    <xf numFmtId="0" fontId="0" fillId="0" borderId="0" xfId="0" applyFont="1" applyAlignment="1">
      <alignment wrapText="1"/>
    </xf>
    <xf numFmtId="0" fontId="6" fillId="0" borderId="0" xfId="0" applyFont="1" applyAlignment="1"/>
    <xf numFmtId="0" fontId="0" fillId="0" borderId="0" xfId="0" applyNumberFormat="1" applyFont="1" applyAlignment="1"/>
    <xf numFmtId="0" fontId="8" fillId="0" borderId="0" xfId="0" applyNumberFormat="1" applyFont="1" applyAlignment="1"/>
    <xf numFmtId="49" fontId="0" fillId="0" borderId="0" xfId="0" applyNumberFormat="1" applyFont="1" applyAlignment="1"/>
    <xf numFmtId="0" fontId="0" fillId="3" borderId="0" xfId="0" applyFont="1" applyFill="1" applyAlignment="1"/>
    <xf numFmtId="0" fontId="9" fillId="4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4" borderId="0" xfId="0" applyNumberFormat="1" applyFont="1" applyFill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10" fillId="0" borderId="3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8" fillId="0" borderId="0" xfId="0" applyFont="1" applyAlignment="1"/>
    <xf numFmtId="0" fontId="13" fillId="0" borderId="0" xfId="0" applyFont="1" applyAlignment="1">
      <alignment wrapText="1"/>
    </xf>
    <xf numFmtId="0" fontId="12" fillId="0" borderId="0" xfId="0" applyFont="1" applyAlignment="1"/>
    <xf numFmtId="0" fontId="0" fillId="6" borderId="0" xfId="0" applyFill="1" applyBorder="1" applyAlignment="1"/>
    <xf numFmtId="0" fontId="0" fillId="6" borderId="2" xfId="0" applyFill="1" applyBorder="1" applyAlignment="1"/>
    <xf numFmtId="0" fontId="8" fillId="0" borderId="0" xfId="0" applyFont="1" applyAlignment="1">
      <alignment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7" borderId="0" xfId="0" applyFill="1" applyBorder="1" applyAlignment="1"/>
    <xf numFmtId="0" fontId="0" fillId="7" borderId="2" xfId="0" applyFill="1" applyBorder="1" applyAlignment="1"/>
    <xf numFmtId="0" fontId="1" fillId="4" borderId="0" xfId="0" applyFont="1" applyFill="1" applyAlignment="1"/>
    <xf numFmtId="49" fontId="0" fillId="4" borderId="0" xfId="0" applyNumberFormat="1" applyFont="1" applyFill="1" applyAlignment="1"/>
    <xf numFmtId="0" fontId="15" fillId="0" borderId="0" xfId="0" applyFont="1" applyAlignment="1"/>
    <xf numFmtId="0" fontId="0" fillId="8" borderId="0" xfId="0" applyFill="1" applyBorder="1" applyAlignment="1"/>
    <xf numFmtId="0" fontId="0" fillId="8" borderId="0" xfId="0" applyFont="1" applyFill="1" applyAlignment="1"/>
    <xf numFmtId="9" fontId="0" fillId="0" borderId="0" xfId="0" applyNumberFormat="1" applyFont="1" applyAlignment="1"/>
    <xf numFmtId="9" fontId="0" fillId="3" borderId="0" xfId="0" applyNumberFormat="1" applyFont="1" applyFill="1" applyAlignment="1"/>
    <xf numFmtId="9" fontId="9" fillId="4" borderId="0" xfId="0" applyNumberFormat="1" applyFont="1" applyFill="1" applyAlignment="1"/>
    <xf numFmtId="9" fontId="0" fillId="4" borderId="0" xfId="0" applyNumberFormat="1" applyFont="1" applyFill="1" applyAlignment="1"/>
    <xf numFmtId="9" fontId="0" fillId="5" borderId="0" xfId="0" applyNumberFormat="1" applyFont="1" applyFill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 defaultTableStyle="TableStyleMedium2" defaultPivotStyle="PivotStyleLight16">
    <tableStyle name="Detail1-0 - 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NO.</a:t>
            </a:r>
            <a:r>
              <a:rPr lang="en-IN" baseline="0"/>
              <a:t> OF HOURS SPEND ON MOBILR PHONE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Sheet2!$B$72</c:f>
              <c:strCache>
                <c:ptCount val="1"/>
                <c:pt idx="0">
                  <c:v>lockdown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Sheet2!$A$73:$A$80</c:f>
              <c:strCache>
                <c:ptCount val="8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12-14</c:v>
                </c:pt>
                <c:pt idx="7">
                  <c:v>14-16</c:v>
                </c:pt>
              </c:strCache>
            </c:strRef>
          </c:cat>
          <c:val>
            <c:numRef>
              <c:f>Sheet2!$B$73:$B$80</c:f>
              <c:numCache>
                <c:formatCode>0%</c:formatCode>
                <c:ptCount val="8"/>
                <c:pt idx="0">
                  <c:v>0.08</c:v>
                </c:pt>
                <c:pt idx="1">
                  <c:v>0.13</c:v>
                </c:pt>
                <c:pt idx="2">
                  <c:v>0.25</c:v>
                </c:pt>
                <c:pt idx="3">
                  <c:v>0.24</c:v>
                </c:pt>
                <c:pt idx="4">
                  <c:v>0.14000000000000001</c:v>
                </c:pt>
                <c:pt idx="5">
                  <c:v>0.1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E-4839-A38F-89E614168AAB}"/>
            </c:ext>
          </c:extLst>
        </c:ser>
        <c:ser>
          <c:idx val="1"/>
          <c:order val="1"/>
          <c:tx>
            <c:strRef>
              <c:f>Sheet2!$C$72</c:f>
              <c:strCache>
                <c:ptCount val="1"/>
                <c:pt idx="0">
                  <c:v>post-lockdown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Sheet2!$A$73:$A$80</c:f>
              <c:strCache>
                <c:ptCount val="8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12-14</c:v>
                </c:pt>
                <c:pt idx="7">
                  <c:v>14-16</c:v>
                </c:pt>
              </c:strCache>
            </c:strRef>
          </c:cat>
          <c:val>
            <c:numRef>
              <c:f>Sheet2!$C$73:$C$80</c:f>
              <c:numCache>
                <c:formatCode>0%</c:formatCode>
                <c:ptCount val="8"/>
                <c:pt idx="0">
                  <c:v>0.21</c:v>
                </c:pt>
                <c:pt idx="1">
                  <c:v>0.34</c:v>
                </c:pt>
                <c:pt idx="2">
                  <c:v>0.25</c:v>
                </c:pt>
                <c:pt idx="3">
                  <c:v>0.13</c:v>
                </c:pt>
                <c:pt idx="4">
                  <c:v>0.01</c:v>
                </c:pt>
                <c:pt idx="5">
                  <c:v>0.05</c:v>
                </c:pt>
                <c:pt idx="6">
                  <c:v>0.01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E-4839-A38F-89E614168A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393208960"/>
        <c:axId val="1393208128"/>
      </c:barChart>
      <c:catAx>
        <c:axId val="139320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08128"/>
        <c:crosses val="autoZero"/>
        <c:auto val="1"/>
        <c:lblAlgn val="ctr"/>
        <c:lblOffset val="100"/>
        <c:noMultiLvlLbl val="0"/>
      </c:catAx>
      <c:valAx>
        <c:axId val="13932081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0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NO.</a:t>
            </a:r>
            <a:r>
              <a:rPr lang="en-IN" baseline="0"/>
              <a:t> OF HOURS SPENF IN LECTURES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Sheet2!$B$86</c:f>
              <c:strCache>
                <c:ptCount val="1"/>
                <c:pt idx="0">
                  <c:v>online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Sheet2!$A$87:$A$89</c:f>
              <c:strCache>
                <c:ptCount val="3"/>
                <c:pt idx="0">
                  <c:v>2-4</c:v>
                </c:pt>
                <c:pt idx="1">
                  <c:v>4-6</c:v>
                </c:pt>
                <c:pt idx="2">
                  <c:v>6-8</c:v>
                </c:pt>
              </c:strCache>
            </c:strRef>
          </c:cat>
          <c:val>
            <c:numRef>
              <c:f>Sheet2!$B$87:$B$89</c:f>
              <c:numCache>
                <c:formatCode>0%</c:formatCode>
                <c:ptCount val="3"/>
                <c:pt idx="0">
                  <c:v>0.39</c:v>
                </c:pt>
                <c:pt idx="1">
                  <c:v>0.37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8-44C5-91CC-B154B6B1469C}"/>
            </c:ext>
          </c:extLst>
        </c:ser>
        <c:ser>
          <c:idx val="1"/>
          <c:order val="1"/>
          <c:tx>
            <c:strRef>
              <c:f>Sheet2!$C$86</c:f>
              <c:strCache>
                <c:ptCount val="1"/>
                <c:pt idx="0">
                  <c:v>offline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Sheet2!$A$87:$A$89</c:f>
              <c:strCache>
                <c:ptCount val="3"/>
                <c:pt idx="0">
                  <c:v>2-4</c:v>
                </c:pt>
                <c:pt idx="1">
                  <c:v>4-6</c:v>
                </c:pt>
                <c:pt idx="2">
                  <c:v>6-8</c:v>
                </c:pt>
              </c:strCache>
            </c:strRef>
          </c:cat>
          <c:val>
            <c:numRef>
              <c:f>Sheet2!$C$87:$C$89</c:f>
              <c:numCache>
                <c:formatCode>0%</c:formatCode>
                <c:ptCount val="3"/>
                <c:pt idx="0">
                  <c:v>0.42</c:v>
                </c:pt>
                <c:pt idx="1">
                  <c:v>0.34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8-44C5-91CC-B154B6B146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77336896"/>
        <c:axId val="1777347296"/>
      </c:barChart>
      <c:catAx>
        <c:axId val="177733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47296"/>
        <c:crosses val="autoZero"/>
        <c:auto val="1"/>
        <c:lblAlgn val="ctr"/>
        <c:lblOffset val="100"/>
        <c:noMultiLvlLbl val="0"/>
      </c:catAx>
      <c:valAx>
        <c:axId val="17773472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3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Sheet2!$K$84</c:f>
              <c:strCache>
                <c:ptCount val="1"/>
                <c:pt idx="0">
                  <c:v>online lectures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Sheet2!$K$85:$K$89</c:f>
              <c:numCache>
                <c:formatCode>0%</c:formatCode>
                <c:ptCount val="5"/>
                <c:pt idx="0">
                  <c:v>0.26</c:v>
                </c:pt>
                <c:pt idx="1">
                  <c:v>0.18</c:v>
                </c:pt>
                <c:pt idx="2">
                  <c:v>0.28000000000000003</c:v>
                </c:pt>
                <c:pt idx="3">
                  <c:v>0.17</c:v>
                </c:pt>
                <c:pt idx="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A-482C-B17E-E5BB80565C17}"/>
            </c:ext>
          </c:extLst>
        </c:ser>
        <c:ser>
          <c:idx val="2"/>
          <c:order val="2"/>
          <c:tx>
            <c:strRef>
              <c:f>Sheet2!$L$84</c:f>
              <c:strCache>
                <c:ptCount val="1"/>
                <c:pt idx="0">
                  <c:v>offline lectures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Sheet2!$L$85:$L$89</c:f>
              <c:numCache>
                <c:formatCode>0%</c:formatCode>
                <c:ptCount val="5"/>
                <c:pt idx="0">
                  <c:v>0.11</c:v>
                </c:pt>
                <c:pt idx="1">
                  <c:v>0.08</c:v>
                </c:pt>
                <c:pt idx="2">
                  <c:v>0.14000000000000001</c:v>
                </c:pt>
                <c:pt idx="3">
                  <c:v>0.41</c:v>
                </c:pt>
                <c:pt idx="4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A-482C-B17E-E5BB80565C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87176656"/>
        <c:axId val="1787174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Sheet2!$J$84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solidFill>
                    <a:schemeClr val="accent2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Sheet2!$J$85:$J$89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7EA-482C-B17E-E5BB80565C17}"/>
                  </c:ext>
                </c:extLst>
              </c15:ser>
            </c15:filteredBarSeries>
          </c:ext>
        </c:extLst>
      </c:barChart>
      <c:catAx>
        <c:axId val="178717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74160"/>
        <c:crosses val="autoZero"/>
        <c:auto val="1"/>
        <c:lblAlgn val="ctr"/>
        <c:lblOffset val="100"/>
        <c:noMultiLvlLbl val="0"/>
      </c:catAx>
      <c:valAx>
        <c:axId val="17871741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SELF</a:t>
            </a:r>
            <a:r>
              <a:rPr lang="en-IN" baseline="0"/>
              <a:t> STUDY HOURS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Sheet2!$K$71</c:f>
              <c:strCache>
                <c:ptCount val="1"/>
                <c:pt idx="0">
                  <c:v>lockdown 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Sheet2!$J$72:$J$76</c:f>
              <c:strCache>
                <c:ptCount val="5"/>
                <c:pt idx="0">
                  <c:v>2-</c:v>
                </c:pt>
                <c:pt idx="1">
                  <c:v>4-</c:v>
                </c:pt>
                <c:pt idx="2">
                  <c:v>6-</c:v>
                </c:pt>
                <c:pt idx="3">
                  <c:v>8-</c:v>
                </c:pt>
                <c:pt idx="4">
                  <c:v>10-</c:v>
                </c:pt>
              </c:strCache>
            </c:strRef>
          </c:cat>
          <c:val>
            <c:numRef>
              <c:f>Sheet2!$K$72:$K$76</c:f>
              <c:numCache>
                <c:formatCode>0%</c:formatCode>
                <c:ptCount val="5"/>
                <c:pt idx="0">
                  <c:v>0.54</c:v>
                </c:pt>
                <c:pt idx="1">
                  <c:v>0.3</c:v>
                </c:pt>
                <c:pt idx="2">
                  <c:v>0.11</c:v>
                </c:pt>
                <c:pt idx="3">
                  <c:v>0.02</c:v>
                </c:pt>
                <c:pt idx="4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9-4CEE-B2C7-1F66BC5D4B7C}"/>
            </c:ext>
          </c:extLst>
        </c:ser>
        <c:ser>
          <c:idx val="1"/>
          <c:order val="1"/>
          <c:tx>
            <c:strRef>
              <c:f>Sheet2!$L$71</c:f>
              <c:strCache>
                <c:ptCount val="1"/>
                <c:pt idx="0">
                  <c:v>post-lockdown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Sheet2!$J$72:$J$76</c:f>
              <c:strCache>
                <c:ptCount val="5"/>
                <c:pt idx="0">
                  <c:v>2-</c:v>
                </c:pt>
                <c:pt idx="1">
                  <c:v>4-</c:v>
                </c:pt>
                <c:pt idx="2">
                  <c:v>6-</c:v>
                </c:pt>
                <c:pt idx="3">
                  <c:v>8-</c:v>
                </c:pt>
                <c:pt idx="4">
                  <c:v>10-</c:v>
                </c:pt>
              </c:strCache>
            </c:strRef>
          </c:cat>
          <c:val>
            <c:numRef>
              <c:f>Sheet2!$L$72:$L$76</c:f>
              <c:numCache>
                <c:formatCode>0%</c:formatCode>
                <c:ptCount val="5"/>
                <c:pt idx="0">
                  <c:v>0.47</c:v>
                </c:pt>
                <c:pt idx="1">
                  <c:v>0.34</c:v>
                </c:pt>
                <c:pt idx="2">
                  <c:v>0.14000000000000001</c:v>
                </c:pt>
                <c:pt idx="3">
                  <c:v>0.03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9-4CEE-B2C7-1F66BC5D4B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79809552"/>
        <c:axId val="279819536"/>
      </c:barChart>
      <c:catAx>
        <c:axId val="2798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19536"/>
        <c:crosses val="autoZero"/>
        <c:auto val="1"/>
        <c:lblAlgn val="ctr"/>
        <c:lblOffset val="100"/>
        <c:noMultiLvlLbl val="0"/>
      </c:catAx>
      <c:valAx>
        <c:axId val="2798195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57214</xdr:colOff>
      <xdr:row>1</xdr:row>
      <xdr:rowOff>114300</xdr:rowOff>
    </xdr:from>
    <xdr:to>
      <xdr:col>4</xdr:col>
      <xdr:colOff>626355</xdr:colOff>
      <xdr:row>12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110DD-8B13-4108-80A5-CC9F35426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814" y="312420"/>
          <a:ext cx="3540941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777240</xdr:colOff>
      <xdr:row>1</xdr:row>
      <xdr:rowOff>13664</xdr:rowOff>
    </xdr:from>
    <xdr:to>
      <xdr:col>8</xdr:col>
      <xdr:colOff>579121</xdr:colOff>
      <xdr:row>12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7D9C14-2DB3-4F0A-8DA8-FD583213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9640" y="211784"/>
          <a:ext cx="3764280" cy="2279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83820</xdr:colOff>
      <xdr:row>0</xdr:row>
      <xdr:rowOff>175260</xdr:rowOff>
    </xdr:from>
    <xdr:to>
      <xdr:col>13</xdr:col>
      <xdr:colOff>55581</xdr:colOff>
      <xdr:row>13</xdr:row>
      <xdr:rowOff>1066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25765B-9E2C-4EAA-B975-93348165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9220" y="175260"/>
          <a:ext cx="4122419" cy="2401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313349</xdr:colOff>
      <xdr:row>14</xdr:row>
      <xdr:rowOff>152850</xdr:rowOff>
    </xdr:from>
    <xdr:to>
      <xdr:col>5</xdr:col>
      <xdr:colOff>147918</xdr:colOff>
      <xdr:row>30</xdr:row>
      <xdr:rowOff>26894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7B96BA-EA8E-4412-8A90-2E32E1B81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49" y="2913979"/>
          <a:ext cx="4917557" cy="3029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681317</xdr:colOff>
      <xdr:row>14</xdr:row>
      <xdr:rowOff>62753</xdr:rowOff>
    </xdr:from>
    <xdr:to>
      <xdr:col>10</xdr:col>
      <xdr:colOff>186017</xdr:colOff>
      <xdr:row>29</xdr:row>
      <xdr:rowOff>123903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201598-B1F4-49B1-A6F7-BF34DF6E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6729" y="2823882"/>
          <a:ext cx="4668371" cy="3019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806823</xdr:colOff>
      <xdr:row>14</xdr:row>
      <xdr:rowOff>94326</xdr:rowOff>
    </xdr:from>
    <xdr:to>
      <xdr:col>15</xdr:col>
      <xdr:colOff>903641</xdr:colOff>
      <xdr:row>30</xdr:row>
      <xdr:rowOff>39641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92C35D-23B8-46A4-8ACF-2F81321A4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7647" y="2855455"/>
          <a:ext cx="5072230" cy="310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582706</xdr:colOff>
      <xdr:row>0</xdr:row>
      <xdr:rowOff>116543</xdr:rowOff>
    </xdr:from>
    <xdr:to>
      <xdr:col>17</xdr:col>
      <xdr:colOff>966394</xdr:colOff>
      <xdr:row>14</xdr:row>
      <xdr:rowOff>36244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7D686C-5E91-46F9-9006-C8FFF64E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8777" y="116543"/>
          <a:ext cx="4364017" cy="2680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957557</xdr:colOff>
      <xdr:row>15</xdr:row>
      <xdr:rowOff>125507</xdr:rowOff>
    </xdr:from>
    <xdr:to>
      <xdr:col>20</xdr:col>
      <xdr:colOff>374724</xdr:colOff>
      <xdr:row>29</xdr:row>
      <xdr:rowOff>62754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DAFCBA-AED9-43E9-BE2F-D7585A9A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9628" y="3083860"/>
          <a:ext cx="4392578" cy="269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161365</xdr:colOff>
      <xdr:row>65</xdr:row>
      <xdr:rowOff>44823</xdr:rowOff>
    </xdr:from>
    <xdr:to>
      <xdr:col>8</xdr:col>
      <xdr:colOff>663389</xdr:colOff>
      <xdr:row>81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44B9F-1B56-471F-B9C7-8BA8E90A6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434787</xdr:colOff>
      <xdr:row>83</xdr:row>
      <xdr:rowOff>143436</xdr:rowOff>
    </xdr:from>
    <xdr:to>
      <xdr:col>8</xdr:col>
      <xdr:colOff>788893</xdr:colOff>
      <xdr:row>100</xdr:row>
      <xdr:rowOff>134471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396D95-35F0-449E-8779-D8E339EF3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434788</xdr:colOff>
      <xdr:row>80</xdr:row>
      <xdr:rowOff>116540</xdr:rowOff>
    </xdr:from>
    <xdr:to>
      <xdr:col>18</xdr:col>
      <xdr:colOff>31376</xdr:colOff>
      <xdr:row>94</xdr:row>
      <xdr:rowOff>98611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8010716-AECB-4ABB-A996-E54203798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309282</xdr:colOff>
      <xdr:row>64</xdr:row>
      <xdr:rowOff>53788</xdr:rowOff>
    </xdr:from>
    <xdr:to>
      <xdr:col>17</xdr:col>
      <xdr:colOff>900953</xdr:colOff>
      <xdr:row>78</xdr:row>
      <xdr:rowOff>35859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E84902-36DA-47BC-86C5-A12DE5A70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 &amp; Sapna" refreshedDate="44579.814748611112" createdVersion="7" refreshedVersion="7" minRefreshableVersion="3" recordCount="112" xr:uid="{EF773770-0B35-4515-A724-8EA30D67A999}">
  <cacheSource type="worksheet">
    <worksheetSource ref="D1:E1048576" sheet="Form responses 1"/>
  </cacheSource>
  <cacheFields count="2">
    <cacheField name="Gender" numFmtId="0">
      <sharedItems containsBlank="1" count="3">
        <s v="Male"/>
        <s v="Female"/>
        <m/>
      </sharedItems>
    </cacheField>
    <cacheField name="Age " numFmtId="0">
      <sharedItems containsString="0" containsBlank="1" containsNumber="1" containsInteger="1" minValue="1" maxValue="3" count="4">
        <n v="1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 &amp; Sapna" refreshedDate="44580.811312500002" createdVersion="7" refreshedVersion="7" minRefreshableVersion="3" recordCount="201" xr:uid="{994698C6-E35D-4541-B440-2321C62B6A0C}">
  <cacheSource type="worksheet">
    <worksheetSource ref="E1:P1048576" sheet="Form responses 1"/>
  </cacheSource>
  <cacheFields count="12">
    <cacheField name="Age " numFmtId="0">
      <sharedItems containsString="0" containsBlank="1" containsNumber="1" containsInteger="1" minValue="1" maxValue="3" count="4">
        <n v="1"/>
        <n v="2"/>
        <n v="3"/>
        <m/>
      </sharedItems>
    </cacheField>
    <cacheField name="Do you own a smartphone ?" numFmtId="0">
      <sharedItems containsBlank="1"/>
    </cacheField>
    <cacheField name="How many hours do you spend on your mobile phone during ? [Lockdown]" numFmtId="0">
      <sharedItems containsString="0" containsBlank="1" containsNumber="1" containsInteger="1" minValue="4" maxValue="11"/>
    </cacheField>
    <cacheField name="How many hours do you spend on your mobile phone during ? [post-Lockdown]" numFmtId="0">
      <sharedItems containsString="0" containsBlank="1" containsNumber="1" containsInteger="1" minValue="4" maxValue="10"/>
    </cacheField>
    <cacheField name="How many hours do you spend in ? [online lectures]" numFmtId="0">
      <sharedItems containsString="0" containsBlank="1" containsNumber="1" containsInteger="1" minValue="5" maxValue="7"/>
    </cacheField>
    <cacheField name="How many hours do you spend in ? [ offline lectures]" numFmtId="0">
      <sharedItems containsString="0" containsBlank="1" containsNumber="1" containsInteger="1" minValue="5" maxValue="7"/>
    </cacheField>
    <cacheField name="Number of hours you spend on self studies? [In lockdown]" numFmtId="0">
      <sharedItems containsString="0" containsBlank="1" containsNumber="1" containsInteger="1" minValue="2" maxValue="10"/>
    </cacheField>
    <cacheField name="Number of hours you spend on self studies? [In post-lockdown]" numFmtId="0">
      <sharedItems containsString="0" containsBlank="1" containsNumber="1" containsInteger="1" minValue="2" maxValue="10"/>
    </cacheField>
    <cacheField name="How would you rate the following? [online classes]" numFmtId="0">
      <sharedItems containsString="0" containsBlank="1" containsNumber="1" containsInteger="1" minValue="1" maxValue="5"/>
    </cacheField>
    <cacheField name="How would you rate the following? [offline classes]" numFmtId="0">
      <sharedItems containsString="0" containsBlank="1" containsNumber="1" containsInteger="1" minValue="1" maxValue="5"/>
    </cacheField>
    <cacheField name="What are the challenges you face during online classes which does not occurs while studing offline ? " numFmtId="0">
      <sharedItems containsBlank="1"/>
    </cacheField>
    <cacheField name="Do you feel the &quot;frequency of internet usage&quot; has increased since you got your mobile device ?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 &amp; Sapna" refreshedDate="44581.848197916668" createdVersion="7" refreshedVersion="7" minRefreshableVersion="3" recordCount="112" xr:uid="{BB252FF4-0B3D-4B98-96F3-9DDCB7219B9C}">
  <cacheSource type="worksheet">
    <worksheetSource ref="D1:H1048576" sheet="Form responses 1"/>
  </cacheSource>
  <cacheFields count="5">
    <cacheField name="Gender" numFmtId="0">
      <sharedItems containsBlank="1" count="3">
        <s v="Male"/>
        <s v="Female"/>
        <m/>
      </sharedItems>
    </cacheField>
    <cacheField name="Age " numFmtId="0">
      <sharedItems containsBlank="1" containsMixedTypes="1" containsNumber="1" minValue="1" maxValue="3"/>
    </cacheField>
    <cacheField name="Do you own a smartphone ?" numFmtId="0">
      <sharedItems containsBlank="1"/>
    </cacheField>
    <cacheField name="How many hours do you spend on your mobile phone during ? [Lockdown]" numFmtId="0">
      <sharedItems containsBlank="1" containsMixedTypes="1" containsNumber="1" minValue="4" maxValue="11" count="11">
        <n v="7"/>
        <n v="5"/>
        <n v="9"/>
        <n v="6"/>
        <n v="8"/>
        <n v="4"/>
        <n v="10"/>
        <n v="11"/>
        <m/>
        <n v="6.79"/>
        <s v="6-8"/>
      </sharedItems>
    </cacheField>
    <cacheField name="How many hours do you spend on your mobile phone during ? [post-Lockdown]" numFmtId="0">
      <sharedItems containsBlank="1" containsMixedTypes="1" containsNumber="1" minValue="4" maxValue="10" count="10">
        <n v="7"/>
        <n v="4"/>
        <n v="9"/>
        <n v="5"/>
        <n v="6"/>
        <n v="8"/>
        <n v="10"/>
        <m/>
        <n v="5.58"/>
        <s v="4-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</r>
  <r>
    <x v="1"/>
    <x v="0"/>
  </r>
  <r>
    <x v="0"/>
    <x v="0"/>
  </r>
  <r>
    <x v="0"/>
    <x v="1"/>
  </r>
  <r>
    <x v="0"/>
    <x v="2"/>
  </r>
  <r>
    <x v="0"/>
    <x v="1"/>
  </r>
  <r>
    <x v="0"/>
    <x v="0"/>
  </r>
  <r>
    <x v="0"/>
    <x v="1"/>
  </r>
  <r>
    <x v="0"/>
    <x v="2"/>
  </r>
  <r>
    <x v="1"/>
    <x v="1"/>
  </r>
  <r>
    <x v="0"/>
    <x v="1"/>
  </r>
  <r>
    <x v="0"/>
    <x v="1"/>
  </r>
  <r>
    <x v="0"/>
    <x v="2"/>
  </r>
  <r>
    <x v="0"/>
    <x v="1"/>
  </r>
  <r>
    <x v="0"/>
    <x v="1"/>
  </r>
  <r>
    <x v="1"/>
    <x v="1"/>
  </r>
  <r>
    <x v="0"/>
    <x v="2"/>
  </r>
  <r>
    <x v="0"/>
    <x v="1"/>
  </r>
  <r>
    <x v="0"/>
    <x v="1"/>
  </r>
  <r>
    <x v="0"/>
    <x v="1"/>
  </r>
  <r>
    <x v="1"/>
    <x v="0"/>
  </r>
  <r>
    <x v="0"/>
    <x v="1"/>
  </r>
  <r>
    <x v="0"/>
    <x v="2"/>
  </r>
  <r>
    <x v="1"/>
    <x v="1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0"/>
    <x v="1"/>
  </r>
  <r>
    <x v="0"/>
    <x v="2"/>
  </r>
  <r>
    <x v="0"/>
    <x v="1"/>
  </r>
  <r>
    <x v="1"/>
    <x v="2"/>
  </r>
  <r>
    <x v="1"/>
    <x v="1"/>
  </r>
  <r>
    <x v="0"/>
    <x v="1"/>
  </r>
  <r>
    <x v="1"/>
    <x v="1"/>
  </r>
  <r>
    <x v="0"/>
    <x v="2"/>
  </r>
  <r>
    <x v="0"/>
    <x v="1"/>
  </r>
  <r>
    <x v="0"/>
    <x v="2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1"/>
  </r>
  <r>
    <x v="1"/>
    <x v="2"/>
  </r>
  <r>
    <x v="0"/>
    <x v="2"/>
  </r>
  <r>
    <x v="1"/>
    <x v="1"/>
  </r>
  <r>
    <x v="0"/>
    <x v="2"/>
  </r>
  <r>
    <x v="0"/>
    <x v="1"/>
  </r>
  <r>
    <x v="0"/>
    <x v="1"/>
  </r>
  <r>
    <x v="1"/>
    <x v="1"/>
  </r>
  <r>
    <x v="0"/>
    <x v="2"/>
  </r>
  <r>
    <x v="1"/>
    <x v="1"/>
  </r>
  <r>
    <x v="0"/>
    <x v="2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2"/>
  </r>
  <r>
    <x v="0"/>
    <x v="2"/>
  </r>
  <r>
    <x v="1"/>
    <x v="1"/>
  </r>
  <r>
    <x v="1"/>
    <x v="1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2"/>
  </r>
  <r>
    <x v="1"/>
    <x v="1"/>
  </r>
  <r>
    <x v="1"/>
    <x v="1"/>
  </r>
  <r>
    <x v="0"/>
    <x v="2"/>
  </r>
  <r>
    <x v="1"/>
    <x v="1"/>
  </r>
  <r>
    <x v="0"/>
    <x v="1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1"/>
    <x v="1"/>
  </r>
  <r>
    <x v="0"/>
    <x v="1"/>
  </r>
  <r>
    <x v="0"/>
    <x v="1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s v="Yes"/>
    <n v="7"/>
    <n v="7"/>
    <n v="5"/>
    <n v="6"/>
    <n v="2"/>
    <n v="2"/>
    <n v="1"/>
    <n v="1"/>
    <s v="Network issue, Power cut, Distraction, Face to face intraction"/>
    <x v="0"/>
  </r>
  <r>
    <x v="0"/>
    <s v="Yes"/>
    <n v="5"/>
    <n v="4"/>
    <n v="5"/>
    <n v="5"/>
    <n v="2"/>
    <n v="2"/>
    <n v="1"/>
    <n v="1"/>
    <s v="Network issue"/>
    <x v="0"/>
  </r>
  <r>
    <x v="0"/>
    <s v="Yes"/>
    <n v="9"/>
    <n v="9"/>
    <n v="7"/>
    <n v="7"/>
    <n v="2"/>
    <n v="2"/>
    <n v="1"/>
    <n v="1"/>
    <s v="Network issue, Power cut, Distraction, Face to face intraction"/>
    <x v="0"/>
  </r>
  <r>
    <x v="1"/>
    <s v="Yes"/>
    <n v="9"/>
    <n v="5"/>
    <n v="5"/>
    <n v="5"/>
    <n v="8"/>
    <n v="4"/>
    <n v="1"/>
    <n v="1"/>
    <s v="Network issue, Power cut, Distraction, Face to face intraction"/>
    <x v="0"/>
  </r>
  <r>
    <x v="2"/>
    <s v="Yes"/>
    <n v="6"/>
    <n v="5"/>
    <n v="6"/>
    <n v="5"/>
    <n v="4"/>
    <n v="4"/>
    <n v="3"/>
    <n v="1"/>
    <s v="Network issue, Distraction, Face to face intraction"/>
    <x v="0"/>
  </r>
  <r>
    <x v="1"/>
    <s v="Yes"/>
    <n v="7"/>
    <n v="6"/>
    <n v="5"/>
    <n v="6"/>
    <n v="2"/>
    <n v="2"/>
    <n v="4"/>
    <n v="1"/>
    <s v="Distraction, Face to face intraction"/>
    <x v="0"/>
  </r>
  <r>
    <x v="0"/>
    <s v="Yes"/>
    <n v="7"/>
    <n v="5"/>
    <n v="5"/>
    <n v="6"/>
    <n v="2"/>
    <n v="4"/>
    <n v="4"/>
    <n v="1"/>
    <s v="Network issue"/>
    <x v="0"/>
  </r>
  <r>
    <x v="1"/>
    <s v="Yes"/>
    <n v="6"/>
    <n v="6"/>
    <n v="6"/>
    <n v="6"/>
    <n v="4"/>
    <n v="2"/>
    <n v="4"/>
    <n v="1"/>
    <s v="Nothing"/>
    <x v="1"/>
  </r>
  <r>
    <x v="2"/>
    <s v="Yes"/>
    <n v="8"/>
    <n v="5"/>
    <n v="6"/>
    <n v="6"/>
    <n v="2"/>
    <n v="2"/>
    <n v="5"/>
    <n v="1"/>
    <s v="Power cut"/>
    <x v="0"/>
  </r>
  <r>
    <x v="1"/>
    <s v="Yes"/>
    <n v="9"/>
    <n v="7"/>
    <n v="6"/>
    <n v="5"/>
    <n v="4"/>
    <n v="6"/>
    <n v="5"/>
    <n v="1"/>
    <s v="Network issue, Power cut, Distraction, Face to face intraction"/>
    <x v="0"/>
  </r>
  <r>
    <x v="1"/>
    <s v="Yes"/>
    <n v="6"/>
    <n v="5"/>
    <n v="6"/>
    <n v="7"/>
    <n v="6"/>
    <n v="2"/>
    <n v="5"/>
    <n v="1"/>
    <s v="Network issue"/>
    <x v="0"/>
  </r>
  <r>
    <x v="1"/>
    <s v="Yes"/>
    <n v="5"/>
    <n v="5"/>
    <n v="5"/>
    <n v="5"/>
    <n v="2"/>
    <n v="2"/>
    <n v="2"/>
    <n v="2"/>
    <s v="Face to face intraction"/>
    <x v="0"/>
  </r>
  <r>
    <x v="2"/>
    <s v="Yes"/>
    <n v="6"/>
    <n v="5"/>
    <n v="5"/>
    <n v="5"/>
    <n v="2"/>
    <n v="6"/>
    <n v="2"/>
    <n v="2"/>
    <s v="Network issue, Distraction"/>
    <x v="0"/>
  </r>
  <r>
    <x v="1"/>
    <s v="Yes"/>
    <n v="6"/>
    <n v="5"/>
    <n v="5"/>
    <n v="6"/>
    <n v="2"/>
    <n v="4"/>
    <n v="3"/>
    <n v="2"/>
    <s v="Network issue"/>
    <x v="0"/>
  </r>
  <r>
    <x v="1"/>
    <s v="Yes"/>
    <n v="6"/>
    <n v="5"/>
    <n v="6"/>
    <n v="7"/>
    <n v="4"/>
    <n v="2"/>
    <n v="3"/>
    <n v="2"/>
    <s v="Network issue"/>
    <x v="0"/>
  </r>
  <r>
    <x v="1"/>
    <s v="Yes"/>
    <n v="7"/>
    <n v="5"/>
    <n v="7"/>
    <n v="7"/>
    <n v="4"/>
    <n v="4"/>
    <n v="3"/>
    <n v="2"/>
    <s v="Network issue, Power cut"/>
    <x v="0"/>
  </r>
  <r>
    <x v="2"/>
    <s v="Yes"/>
    <n v="7"/>
    <n v="6"/>
    <n v="6"/>
    <n v="5"/>
    <n v="4"/>
    <n v="6"/>
    <n v="3"/>
    <n v="2"/>
    <s v="Network issue"/>
    <x v="0"/>
  </r>
  <r>
    <x v="1"/>
    <s v="Yes"/>
    <n v="8"/>
    <n v="6"/>
    <n v="7"/>
    <n v="7"/>
    <n v="2"/>
    <n v="2"/>
    <n v="5"/>
    <n v="2"/>
    <s v="Network issue, Distraction, Face to face intraction"/>
    <x v="0"/>
  </r>
  <r>
    <x v="1"/>
    <s v="Yes"/>
    <n v="8"/>
    <n v="6"/>
    <n v="7"/>
    <n v="5"/>
    <n v="10"/>
    <n v="8"/>
    <n v="5"/>
    <n v="2"/>
    <s v="Network issue"/>
    <x v="0"/>
  </r>
  <r>
    <x v="1"/>
    <s v="Yes"/>
    <n v="6"/>
    <n v="5"/>
    <n v="6"/>
    <n v="5"/>
    <n v="2"/>
    <n v="4"/>
    <n v="1"/>
    <n v="3"/>
    <s v="Network issue"/>
    <x v="1"/>
  </r>
  <r>
    <x v="0"/>
    <s v="Yes"/>
    <n v="7"/>
    <n v="5"/>
    <n v="6"/>
    <n v="5"/>
    <n v="2"/>
    <n v="8"/>
    <n v="1"/>
    <n v="3"/>
    <s v="Distraction"/>
    <x v="0"/>
  </r>
  <r>
    <x v="1"/>
    <s v="Yes"/>
    <n v="8"/>
    <n v="4"/>
    <n v="7"/>
    <n v="5"/>
    <n v="2"/>
    <n v="2"/>
    <n v="2"/>
    <n v="3"/>
    <s v="Power cut"/>
    <x v="0"/>
  </r>
  <r>
    <x v="2"/>
    <s v="Yes"/>
    <n v="4"/>
    <n v="4"/>
    <n v="5"/>
    <n v="6"/>
    <n v="2"/>
    <n v="4"/>
    <n v="2"/>
    <n v="3"/>
    <s v="Face to face intraction"/>
    <x v="0"/>
  </r>
  <r>
    <x v="1"/>
    <s v="Yes"/>
    <n v="7"/>
    <n v="4"/>
    <n v="6"/>
    <n v="6"/>
    <n v="2"/>
    <n v="6"/>
    <n v="2"/>
    <n v="3"/>
    <s v="Network issue"/>
    <x v="0"/>
  </r>
  <r>
    <x v="1"/>
    <s v="Yes"/>
    <n v="7"/>
    <n v="5"/>
    <n v="7"/>
    <n v="7"/>
    <n v="4"/>
    <n v="4"/>
    <n v="2"/>
    <n v="3"/>
    <s v="Network issue, Distraction"/>
    <x v="0"/>
  </r>
  <r>
    <x v="1"/>
    <s v="Yes"/>
    <n v="10"/>
    <n v="4"/>
    <n v="6"/>
    <n v="6"/>
    <n v="2"/>
    <n v="2"/>
    <n v="3"/>
    <n v="3"/>
    <s v="Network issue, Power cut"/>
    <x v="0"/>
  </r>
  <r>
    <x v="1"/>
    <s v="Yes"/>
    <n v="8"/>
    <n v="6"/>
    <n v="5"/>
    <n v="5"/>
    <n v="4"/>
    <n v="4"/>
    <n v="3"/>
    <n v="3"/>
    <s v="Network issue, Distraction, Face to face intraction"/>
    <x v="0"/>
  </r>
  <r>
    <x v="1"/>
    <s v="Yes"/>
    <n v="5"/>
    <n v="6"/>
    <n v="5"/>
    <n v="5"/>
    <n v="2"/>
    <n v="2"/>
    <n v="4"/>
    <n v="3"/>
    <s v="Face to face intraction"/>
    <x v="0"/>
  </r>
  <r>
    <x v="1"/>
    <s v="Yes"/>
    <n v="6"/>
    <n v="6"/>
    <n v="6"/>
    <n v="6"/>
    <n v="2"/>
    <n v="2"/>
    <n v="4"/>
    <n v="3"/>
    <s v="Network issue, Distraction"/>
    <x v="0"/>
  </r>
  <r>
    <x v="1"/>
    <s v="Yes"/>
    <n v="4"/>
    <n v="5"/>
    <n v="6"/>
    <n v="6"/>
    <n v="4"/>
    <n v="6"/>
    <n v="4"/>
    <n v="3"/>
    <s v="Network issue, Power cut, Face to face intraction"/>
    <x v="0"/>
  </r>
  <r>
    <x v="1"/>
    <s v="Yes"/>
    <n v="4"/>
    <n v="4"/>
    <n v="7"/>
    <n v="7"/>
    <n v="2"/>
    <n v="2"/>
    <n v="5"/>
    <n v="3"/>
    <s v="Network issue, Power cut, Distraction, Face to face intraction"/>
    <x v="0"/>
  </r>
  <r>
    <x v="1"/>
    <s v="Yes"/>
    <n v="5"/>
    <n v="5"/>
    <n v="5"/>
    <n v="6"/>
    <n v="4"/>
    <n v="4"/>
    <n v="5"/>
    <n v="3"/>
    <s v="Power cut, Distraction"/>
    <x v="0"/>
  </r>
  <r>
    <x v="1"/>
    <s v="Yes"/>
    <n v="9"/>
    <n v="8"/>
    <n v="7"/>
    <n v="5"/>
    <n v="6"/>
    <n v="4"/>
    <n v="5"/>
    <n v="3"/>
    <s v="Network issue, Power cut, Distraction"/>
    <x v="0"/>
  </r>
  <r>
    <x v="1"/>
    <s v="Yes"/>
    <n v="8"/>
    <n v="4"/>
    <n v="7"/>
    <n v="7"/>
    <n v="2"/>
    <n v="2"/>
    <n v="1"/>
    <n v="4"/>
    <s v="Network issue"/>
    <x v="0"/>
  </r>
  <r>
    <x v="1"/>
    <s v="Yes"/>
    <n v="9"/>
    <n v="9"/>
    <n v="5"/>
    <n v="5"/>
    <n v="2"/>
    <n v="2"/>
    <n v="1"/>
    <n v="4"/>
    <s v="Network issue, Power cut, Distraction, Face to face intraction"/>
    <x v="0"/>
  </r>
  <r>
    <x v="1"/>
    <s v="Yes"/>
    <n v="9"/>
    <n v="7"/>
    <n v="7"/>
    <n v="5"/>
    <n v="2"/>
    <n v="2"/>
    <n v="1"/>
    <n v="4"/>
    <s v="Network issue, Power cut, Distraction, Face to face intraction"/>
    <x v="0"/>
  </r>
  <r>
    <x v="1"/>
    <s v="Yes"/>
    <n v="6"/>
    <n v="5"/>
    <n v="5"/>
    <n v="5"/>
    <n v="2"/>
    <n v="2"/>
    <n v="1"/>
    <n v="4"/>
    <s v="Network issue, Distraction, Face to face intraction"/>
    <x v="0"/>
  </r>
  <r>
    <x v="2"/>
    <s v="No"/>
    <n v="4"/>
    <n v="4"/>
    <n v="5"/>
    <n v="5"/>
    <n v="2"/>
    <n v="2"/>
    <n v="1"/>
    <n v="4"/>
    <s v="Network issue, Power cut, Distraction"/>
    <x v="0"/>
  </r>
  <r>
    <x v="1"/>
    <s v="Yes"/>
    <n v="9"/>
    <n v="6"/>
    <n v="7"/>
    <n v="7"/>
    <n v="2"/>
    <n v="4"/>
    <n v="1"/>
    <n v="4"/>
    <s v="Network issue, Face to face intraction"/>
    <x v="0"/>
  </r>
  <r>
    <x v="2"/>
    <s v="Yes"/>
    <n v="5"/>
    <n v="4"/>
    <n v="7"/>
    <n v="7"/>
    <n v="2"/>
    <n v="6"/>
    <n v="1"/>
    <n v="4"/>
    <s v="Network issue, Power cut, Distraction, Face to face intraction"/>
    <x v="0"/>
  </r>
  <r>
    <x v="1"/>
    <s v="Yes"/>
    <n v="6"/>
    <n v="5"/>
    <n v="6"/>
    <n v="5"/>
    <n v="4"/>
    <n v="2"/>
    <n v="1"/>
    <n v="4"/>
    <s v="Network issue"/>
    <x v="0"/>
  </r>
  <r>
    <x v="1"/>
    <s v="Yes"/>
    <n v="8"/>
    <n v="5"/>
    <n v="7"/>
    <n v="5"/>
    <n v="4"/>
    <n v="2"/>
    <n v="1"/>
    <n v="4"/>
    <s v="Network issue, Power cut, Distraction"/>
    <x v="0"/>
  </r>
  <r>
    <x v="1"/>
    <s v="Yes"/>
    <n v="6"/>
    <n v="5"/>
    <n v="5"/>
    <n v="6"/>
    <n v="4"/>
    <n v="2"/>
    <n v="1"/>
    <n v="4"/>
    <s v="Network issue"/>
    <x v="0"/>
  </r>
  <r>
    <x v="2"/>
    <s v="Yes"/>
    <n v="10"/>
    <n v="9"/>
    <n v="5"/>
    <n v="6"/>
    <n v="4"/>
    <n v="4"/>
    <n v="1"/>
    <n v="4"/>
    <s v="Network issue, Distraction, Face to face intraction"/>
    <x v="0"/>
  </r>
  <r>
    <x v="1"/>
    <s v="Yes"/>
    <n v="7"/>
    <n v="5"/>
    <n v="5"/>
    <n v="6"/>
    <n v="4"/>
    <n v="6"/>
    <n v="1"/>
    <n v="4"/>
    <s v="Distraction"/>
    <x v="0"/>
  </r>
  <r>
    <x v="2"/>
    <s v="Yes"/>
    <n v="6"/>
    <n v="5"/>
    <n v="6"/>
    <n v="6"/>
    <n v="6"/>
    <n v="6"/>
    <n v="1"/>
    <n v="4"/>
    <s v="Face to face intraction"/>
    <x v="0"/>
  </r>
  <r>
    <x v="1"/>
    <s v="Yes"/>
    <n v="6"/>
    <n v="4"/>
    <n v="6"/>
    <n v="5"/>
    <n v="2"/>
    <n v="2"/>
    <n v="2"/>
    <n v="4"/>
    <s v="Network issue, Face to face intraction"/>
    <x v="0"/>
  </r>
  <r>
    <x v="1"/>
    <s v="Yes"/>
    <n v="6"/>
    <n v="5"/>
    <n v="5"/>
    <n v="5"/>
    <n v="2"/>
    <n v="2"/>
    <n v="2"/>
    <n v="4"/>
    <s v="Network issue, Power cut"/>
    <x v="0"/>
  </r>
  <r>
    <x v="1"/>
    <s v="No"/>
    <n v="6"/>
    <n v="5"/>
    <n v="6"/>
    <n v="5"/>
    <n v="2"/>
    <n v="2"/>
    <n v="2"/>
    <n v="4"/>
    <s v="Network issue, Power cut, Face to face intraction"/>
    <x v="0"/>
  </r>
  <r>
    <x v="1"/>
    <s v="Yes"/>
    <n v="7"/>
    <n v="6"/>
    <n v="7"/>
    <n v="7"/>
    <n v="4"/>
    <n v="2"/>
    <n v="2"/>
    <n v="4"/>
    <s v="Network issue, Power cut, Face to face intraction"/>
    <x v="0"/>
  </r>
  <r>
    <x v="1"/>
    <s v="Yes"/>
    <n v="5"/>
    <n v="4"/>
    <n v="7"/>
    <n v="5"/>
    <n v="4"/>
    <n v="2"/>
    <n v="2"/>
    <n v="4"/>
    <s v="Distraction"/>
    <x v="0"/>
  </r>
  <r>
    <x v="1"/>
    <s v="Yes"/>
    <n v="7"/>
    <n v="6"/>
    <n v="7"/>
    <n v="5"/>
    <n v="4"/>
    <n v="6"/>
    <n v="2"/>
    <n v="4"/>
    <s v="Distraction"/>
    <x v="0"/>
  </r>
  <r>
    <x v="1"/>
    <s v="Yes"/>
    <n v="5"/>
    <n v="4"/>
    <n v="6"/>
    <n v="7"/>
    <n v="6"/>
    <n v="4"/>
    <n v="2"/>
    <n v="4"/>
    <s v="Network issue, Distraction"/>
    <x v="0"/>
  </r>
  <r>
    <x v="1"/>
    <s v="Yes"/>
    <n v="6"/>
    <n v="10"/>
    <n v="7"/>
    <n v="5"/>
    <n v="6"/>
    <n v="4"/>
    <n v="2"/>
    <n v="4"/>
    <s v="Network issue, Power cut, Distraction, Face to face intraction"/>
    <x v="0"/>
  </r>
  <r>
    <x v="2"/>
    <s v="Yes"/>
    <n v="8"/>
    <n v="7"/>
    <n v="5"/>
    <n v="6"/>
    <n v="2"/>
    <n v="2"/>
    <n v="3"/>
    <n v="4"/>
    <s v="Network issue"/>
    <x v="0"/>
  </r>
  <r>
    <x v="2"/>
    <s v="Yes"/>
    <n v="5"/>
    <n v="6"/>
    <n v="5"/>
    <n v="6"/>
    <n v="2"/>
    <n v="2"/>
    <n v="3"/>
    <n v="4"/>
    <s v="Face to face intraction"/>
    <x v="0"/>
  </r>
  <r>
    <x v="1"/>
    <s v="Yes"/>
    <n v="8"/>
    <n v="6"/>
    <n v="6"/>
    <n v="7"/>
    <n v="2"/>
    <n v="2"/>
    <n v="3"/>
    <n v="4"/>
    <s v="Network issue, Distraction, Face to face intraction"/>
    <x v="0"/>
  </r>
  <r>
    <x v="2"/>
    <s v="Yes"/>
    <n v="7"/>
    <n v="7"/>
    <n v="6"/>
    <n v="6"/>
    <n v="2"/>
    <n v="4"/>
    <n v="3"/>
    <n v="4"/>
    <s v="Network issue, Distraction, Face to face intraction"/>
    <x v="0"/>
  </r>
  <r>
    <x v="1"/>
    <s v="Yes"/>
    <n v="7"/>
    <n v="5"/>
    <n v="6"/>
    <n v="6"/>
    <n v="2"/>
    <n v="4"/>
    <n v="3"/>
    <n v="4"/>
    <s v="Network issue, Power cut, Distraction"/>
    <x v="0"/>
  </r>
  <r>
    <x v="1"/>
    <s v="Yes"/>
    <n v="11"/>
    <n v="9"/>
    <n v="7"/>
    <n v="5"/>
    <n v="4"/>
    <n v="2"/>
    <n v="3"/>
    <n v="4"/>
    <s v="Network issue, Power cut, Distraction, Face to face intraction"/>
    <x v="0"/>
  </r>
  <r>
    <x v="1"/>
    <s v="Yes"/>
    <n v="6"/>
    <n v="6"/>
    <n v="6"/>
    <n v="7"/>
    <n v="4"/>
    <n v="4"/>
    <n v="3"/>
    <n v="4"/>
    <s v="Network issue, Distraction, Face to face intraction"/>
    <x v="1"/>
  </r>
  <r>
    <x v="2"/>
    <s v="Yes"/>
    <n v="7"/>
    <n v="5"/>
    <n v="7"/>
    <n v="5"/>
    <n v="6"/>
    <n v="2"/>
    <n v="3"/>
    <n v="4"/>
    <s v="Network issue, Power cut, Distraction, Face to face intraction"/>
    <x v="1"/>
  </r>
  <r>
    <x v="1"/>
    <s v="Yes"/>
    <n v="5"/>
    <n v="4"/>
    <n v="5"/>
    <n v="6"/>
    <n v="6"/>
    <n v="4"/>
    <n v="3"/>
    <n v="4"/>
    <s v="Face to face intraction"/>
    <x v="0"/>
  </r>
  <r>
    <x v="2"/>
    <s v="Yes"/>
    <n v="5"/>
    <n v="4"/>
    <n v="7"/>
    <n v="6"/>
    <n v="8"/>
    <n v="6"/>
    <n v="3"/>
    <n v="4"/>
    <s v="Network issue, Distraction, Face to face intraction"/>
    <x v="0"/>
  </r>
  <r>
    <x v="0"/>
    <s v="Yes"/>
    <n v="11"/>
    <n v="4"/>
    <n v="7"/>
    <n v="6"/>
    <n v="10"/>
    <n v="10"/>
    <n v="3"/>
    <n v="4"/>
    <s v="Network issue"/>
    <x v="0"/>
  </r>
  <r>
    <x v="1"/>
    <s v="Yes"/>
    <n v="10"/>
    <n v="9"/>
    <n v="6"/>
    <n v="6"/>
    <n v="2"/>
    <n v="2"/>
    <n v="4"/>
    <n v="4"/>
    <s v="Face to face intraction"/>
    <x v="0"/>
  </r>
  <r>
    <x v="1"/>
    <s v="Yes"/>
    <n v="7"/>
    <n v="7"/>
    <n v="5"/>
    <n v="5"/>
    <n v="2"/>
    <n v="2"/>
    <n v="4"/>
    <n v="4"/>
    <s v="Network issue, Power cut, Distraction, Face to face intraction, Noise disturbing "/>
    <x v="0"/>
  </r>
  <r>
    <x v="1"/>
    <s v="Yes"/>
    <n v="10"/>
    <n v="7"/>
    <n v="6"/>
    <n v="7"/>
    <n v="2"/>
    <n v="4"/>
    <n v="4"/>
    <n v="4"/>
    <s v="Distraction, Face to face intraction"/>
    <x v="0"/>
  </r>
  <r>
    <x v="1"/>
    <s v="Yes"/>
    <n v="7"/>
    <n v="7"/>
    <n v="5"/>
    <n v="5"/>
    <n v="2"/>
    <n v="4"/>
    <n v="4"/>
    <n v="4"/>
    <s v="Network issue, Power cut, Distraction, Face to face intraction"/>
    <x v="0"/>
  </r>
  <r>
    <x v="1"/>
    <s v="Yes"/>
    <n v="8"/>
    <n v="6"/>
    <n v="6"/>
    <n v="7"/>
    <n v="4"/>
    <n v="4"/>
    <n v="4"/>
    <n v="4"/>
    <s v="Network issue, Power cut, Distraction, Face to face intraction"/>
    <x v="0"/>
  </r>
  <r>
    <x v="1"/>
    <s v="Yes"/>
    <n v="7"/>
    <n v="7"/>
    <n v="7"/>
    <n v="7"/>
    <n v="4"/>
    <n v="4"/>
    <n v="4"/>
    <n v="4"/>
    <s v="Network issue, Power cut, Distraction, Face to face intraction"/>
    <x v="0"/>
  </r>
  <r>
    <x v="0"/>
    <s v="Yes"/>
    <n v="8"/>
    <n v="7"/>
    <n v="6"/>
    <n v="5"/>
    <n v="6"/>
    <n v="4"/>
    <n v="4"/>
    <n v="4"/>
    <s v="Face to face intraction"/>
    <x v="1"/>
  </r>
  <r>
    <x v="1"/>
    <s v="Yes"/>
    <n v="6"/>
    <n v="6"/>
    <n v="6"/>
    <n v="5"/>
    <n v="6"/>
    <n v="6"/>
    <n v="4"/>
    <n v="4"/>
    <s v="Network issue, Power cut"/>
    <x v="1"/>
  </r>
  <r>
    <x v="0"/>
    <s v="Yes"/>
    <n v="7"/>
    <n v="7"/>
    <n v="5"/>
    <n v="6"/>
    <n v="2"/>
    <n v="2"/>
    <n v="5"/>
    <n v="4"/>
    <s v="Face to face intraction"/>
    <x v="0"/>
  </r>
  <r>
    <x v="2"/>
    <s v="Yes"/>
    <n v="9"/>
    <n v="6"/>
    <n v="5"/>
    <n v="5"/>
    <n v="2"/>
    <n v="2"/>
    <n v="1"/>
    <n v="5"/>
    <s v="Distraction"/>
    <x v="0"/>
  </r>
  <r>
    <x v="2"/>
    <s v="Yes"/>
    <n v="9"/>
    <n v="6"/>
    <n v="6"/>
    <n v="5"/>
    <n v="2"/>
    <n v="2"/>
    <n v="1"/>
    <n v="5"/>
    <s v="Network issue, Power cut, Distraction"/>
    <x v="0"/>
  </r>
  <r>
    <x v="1"/>
    <s v="Yes"/>
    <n v="6"/>
    <n v="5"/>
    <n v="6"/>
    <n v="6"/>
    <n v="2"/>
    <n v="2"/>
    <n v="1"/>
    <n v="5"/>
    <s v="Network issue, Power cut, Distraction"/>
    <x v="0"/>
  </r>
  <r>
    <x v="1"/>
    <s v="Yes"/>
    <n v="6"/>
    <n v="4"/>
    <n v="5"/>
    <n v="7"/>
    <n v="2"/>
    <n v="4"/>
    <n v="1"/>
    <n v="5"/>
    <s v="Network issue, Power cut, Distraction, Face to face intraction"/>
    <x v="0"/>
  </r>
  <r>
    <x v="0"/>
    <s v="Yes"/>
    <n v="7"/>
    <n v="5"/>
    <n v="5"/>
    <n v="7"/>
    <n v="2"/>
    <n v="6"/>
    <n v="1"/>
    <n v="5"/>
    <s v="Network issue"/>
    <x v="0"/>
  </r>
  <r>
    <x v="1"/>
    <s v="Yes"/>
    <n v="8"/>
    <n v="6"/>
    <n v="6"/>
    <n v="7"/>
    <n v="2"/>
    <n v="6"/>
    <n v="1"/>
    <n v="5"/>
    <s v="Network issue, Power cut, Distraction, Face to face intraction, Phone problem battery issue"/>
    <x v="0"/>
  </r>
  <r>
    <x v="1"/>
    <s v="Yes"/>
    <n v="6"/>
    <n v="5"/>
    <n v="5"/>
    <n v="7"/>
    <n v="4"/>
    <n v="2"/>
    <n v="1"/>
    <n v="5"/>
    <s v="Network issue, Power cut, Distraction, Face to face intraction"/>
    <x v="0"/>
  </r>
  <r>
    <x v="1"/>
    <s v="Yes"/>
    <n v="7"/>
    <n v="6"/>
    <n v="5"/>
    <n v="6"/>
    <n v="2"/>
    <n v="2"/>
    <n v="2"/>
    <n v="5"/>
    <s v="Network issue, Distraction, Face to face intraction"/>
    <x v="0"/>
  </r>
  <r>
    <x v="1"/>
    <s v="Yes"/>
    <n v="5"/>
    <n v="6"/>
    <n v="5"/>
    <n v="5"/>
    <n v="2"/>
    <n v="4"/>
    <n v="2"/>
    <n v="5"/>
    <s v="Network issue, Distraction, Face to face intraction"/>
    <x v="0"/>
  </r>
  <r>
    <x v="0"/>
    <s v="Yes"/>
    <n v="5"/>
    <n v="5"/>
    <n v="6"/>
    <n v="6"/>
    <n v="4"/>
    <n v="4"/>
    <n v="2"/>
    <n v="5"/>
    <s v="Network issue"/>
    <x v="0"/>
  </r>
  <r>
    <x v="1"/>
    <s v="Yes"/>
    <n v="5"/>
    <n v="4"/>
    <n v="5"/>
    <n v="5"/>
    <n v="4"/>
    <n v="4"/>
    <n v="2"/>
    <n v="5"/>
    <s v="Network issue"/>
    <x v="0"/>
  </r>
  <r>
    <x v="2"/>
    <s v="Yes"/>
    <n v="7"/>
    <n v="6"/>
    <n v="5"/>
    <n v="6"/>
    <n v="2"/>
    <n v="2"/>
    <n v="3"/>
    <n v="5"/>
    <s v="Network issue, Distraction, Face to face intraction"/>
    <x v="1"/>
  </r>
  <r>
    <x v="1"/>
    <s v="Yes"/>
    <n v="6"/>
    <n v="7"/>
    <n v="5"/>
    <n v="5"/>
    <n v="2"/>
    <n v="2"/>
    <n v="3"/>
    <n v="5"/>
    <s v="Distraction, Lack of concentration "/>
    <x v="0"/>
  </r>
  <r>
    <x v="1"/>
    <s v="Yes"/>
    <n v="9"/>
    <n v="6"/>
    <n v="5"/>
    <n v="6"/>
    <n v="2"/>
    <n v="2"/>
    <n v="3"/>
    <n v="5"/>
    <s v="Network issue, Power cut, Distraction, Face to face intraction"/>
    <x v="0"/>
  </r>
  <r>
    <x v="2"/>
    <s v="Yes"/>
    <n v="7"/>
    <n v="5"/>
    <n v="7"/>
    <n v="5"/>
    <n v="2"/>
    <n v="4"/>
    <n v="3"/>
    <n v="5"/>
    <s v="Network issue"/>
    <x v="0"/>
  </r>
  <r>
    <x v="1"/>
    <s v="Yes"/>
    <n v="8"/>
    <n v="5"/>
    <n v="5"/>
    <n v="6"/>
    <n v="2"/>
    <n v="6"/>
    <n v="3"/>
    <n v="5"/>
    <s v="Network issue"/>
    <x v="0"/>
  </r>
  <r>
    <x v="1"/>
    <s v="Yes"/>
    <n v="4"/>
    <n v="4"/>
    <n v="7"/>
    <n v="7"/>
    <n v="4"/>
    <n v="2"/>
    <n v="3"/>
    <n v="5"/>
    <s v="Face to face intraction"/>
    <x v="1"/>
  </r>
  <r>
    <x v="0"/>
    <s v="Yes"/>
    <n v="6"/>
    <n v="5"/>
    <n v="6"/>
    <n v="5"/>
    <n v="4"/>
    <n v="4"/>
    <n v="3"/>
    <n v="5"/>
    <s v="Network issue, Power cut, Face to face intraction"/>
    <x v="0"/>
  </r>
  <r>
    <x v="1"/>
    <s v="Yes"/>
    <n v="6"/>
    <n v="5"/>
    <n v="6"/>
    <n v="5"/>
    <n v="4"/>
    <n v="4"/>
    <n v="3"/>
    <n v="5"/>
    <s v="Network issue"/>
    <x v="0"/>
  </r>
  <r>
    <x v="0"/>
    <s v="No"/>
    <n v="4"/>
    <n v="4"/>
    <n v="6"/>
    <n v="6"/>
    <n v="4"/>
    <n v="4"/>
    <n v="3"/>
    <n v="5"/>
    <s v="Network issue"/>
    <x v="0"/>
  </r>
  <r>
    <x v="1"/>
    <s v="Yes"/>
    <n v="7"/>
    <n v="5"/>
    <n v="6"/>
    <n v="7"/>
    <n v="6"/>
    <n v="4"/>
    <n v="3"/>
    <n v="5"/>
    <s v="Network issue, Distraction, Face to face intraction"/>
    <x v="0"/>
  </r>
  <r>
    <x v="1"/>
    <s v="Yes"/>
    <n v="8"/>
    <n v="6"/>
    <n v="5"/>
    <n v="7"/>
    <n v="2"/>
    <n v="2"/>
    <n v="4"/>
    <n v="5"/>
    <s v="Network issue, Power cut, Face to face intraction"/>
    <x v="0"/>
  </r>
  <r>
    <x v="0"/>
    <s v="Yes"/>
    <n v="6"/>
    <n v="4"/>
    <n v="5"/>
    <n v="5"/>
    <n v="4"/>
    <n v="2"/>
    <n v="4"/>
    <n v="5"/>
    <s v="Network issue"/>
    <x v="0"/>
  </r>
  <r>
    <x v="1"/>
    <s v="Yes"/>
    <n v="4"/>
    <n v="4"/>
    <n v="5"/>
    <n v="5"/>
    <n v="6"/>
    <n v="8"/>
    <n v="4"/>
    <n v="5"/>
    <s v="Network issue, Power cut, Distraction, Face to face intraction"/>
    <x v="1"/>
  </r>
  <r>
    <x v="1"/>
    <s v="Yes"/>
    <n v="4"/>
    <n v="6"/>
    <n v="6"/>
    <n v="6"/>
    <n v="2"/>
    <n v="4"/>
    <n v="5"/>
    <n v="5"/>
    <s v="Face to face intraction"/>
    <x v="1"/>
  </r>
  <r>
    <x v="1"/>
    <s v="Yes"/>
    <n v="7"/>
    <n v="7"/>
    <n v="6"/>
    <n v="6"/>
    <n v="10"/>
    <n v="10"/>
    <n v="5"/>
    <n v="5"/>
    <s v="Network issue"/>
    <x v="0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  <r>
    <x v="3"/>
    <m/>
    <m/>
    <m/>
    <m/>
    <m/>
    <m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n v="1"/>
    <s v="Yes"/>
    <x v="0"/>
    <x v="0"/>
  </r>
  <r>
    <x v="1"/>
    <n v="1"/>
    <s v="Yes"/>
    <x v="1"/>
    <x v="1"/>
  </r>
  <r>
    <x v="0"/>
    <n v="1"/>
    <s v="Yes"/>
    <x v="2"/>
    <x v="2"/>
  </r>
  <r>
    <x v="0"/>
    <n v="2"/>
    <s v="Yes"/>
    <x v="2"/>
    <x v="3"/>
  </r>
  <r>
    <x v="0"/>
    <n v="3"/>
    <s v="Yes"/>
    <x v="3"/>
    <x v="3"/>
  </r>
  <r>
    <x v="0"/>
    <n v="2"/>
    <s v="Yes"/>
    <x v="0"/>
    <x v="4"/>
  </r>
  <r>
    <x v="0"/>
    <n v="1"/>
    <s v="Yes"/>
    <x v="0"/>
    <x v="3"/>
  </r>
  <r>
    <x v="0"/>
    <n v="2"/>
    <s v="Yes"/>
    <x v="3"/>
    <x v="4"/>
  </r>
  <r>
    <x v="0"/>
    <n v="3"/>
    <s v="Yes"/>
    <x v="4"/>
    <x v="3"/>
  </r>
  <r>
    <x v="1"/>
    <n v="2"/>
    <s v="Yes"/>
    <x v="2"/>
    <x v="0"/>
  </r>
  <r>
    <x v="0"/>
    <n v="2"/>
    <s v="Yes"/>
    <x v="3"/>
    <x v="3"/>
  </r>
  <r>
    <x v="0"/>
    <n v="2"/>
    <s v="Yes"/>
    <x v="1"/>
    <x v="3"/>
  </r>
  <r>
    <x v="0"/>
    <n v="3"/>
    <s v="Yes"/>
    <x v="3"/>
    <x v="3"/>
  </r>
  <r>
    <x v="0"/>
    <n v="2"/>
    <s v="Yes"/>
    <x v="3"/>
    <x v="3"/>
  </r>
  <r>
    <x v="0"/>
    <n v="2"/>
    <s v="Yes"/>
    <x v="3"/>
    <x v="3"/>
  </r>
  <r>
    <x v="1"/>
    <n v="2"/>
    <s v="Yes"/>
    <x v="0"/>
    <x v="3"/>
  </r>
  <r>
    <x v="0"/>
    <n v="3"/>
    <s v="Yes"/>
    <x v="0"/>
    <x v="4"/>
  </r>
  <r>
    <x v="0"/>
    <n v="2"/>
    <s v="Yes"/>
    <x v="4"/>
    <x v="4"/>
  </r>
  <r>
    <x v="0"/>
    <n v="2"/>
    <s v="Yes"/>
    <x v="4"/>
    <x v="4"/>
  </r>
  <r>
    <x v="0"/>
    <n v="2"/>
    <s v="Yes"/>
    <x v="3"/>
    <x v="3"/>
  </r>
  <r>
    <x v="1"/>
    <n v="1"/>
    <s v="Yes"/>
    <x v="0"/>
    <x v="3"/>
  </r>
  <r>
    <x v="0"/>
    <n v="2"/>
    <s v="Yes"/>
    <x v="4"/>
    <x v="1"/>
  </r>
  <r>
    <x v="0"/>
    <n v="3"/>
    <s v="Yes"/>
    <x v="5"/>
    <x v="1"/>
  </r>
  <r>
    <x v="1"/>
    <n v="2"/>
    <s v="Yes"/>
    <x v="0"/>
    <x v="1"/>
  </r>
  <r>
    <x v="1"/>
    <n v="2"/>
    <s v="Yes"/>
    <x v="0"/>
    <x v="3"/>
  </r>
  <r>
    <x v="0"/>
    <n v="2"/>
    <s v="Yes"/>
    <x v="6"/>
    <x v="1"/>
  </r>
  <r>
    <x v="1"/>
    <n v="2"/>
    <s v="Yes"/>
    <x v="4"/>
    <x v="4"/>
  </r>
  <r>
    <x v="0"/>
    <n v="2"/>
    <s v="Yes"/>
    <x v="1"/>
    <x v="4"/>
  </r>
  <r>
    <x v="0"/>
    <n v="2"/>
    <s v="Yes"/>
    <x v="3"/>
    <x v="4"/>
  </r>
  <r>
    <x v="1"/>
    <n v="2"/>
    <s v="Yes"/>
    <x v="5"/>
    <x v="3"/>
  </r>
  <r>
    <x v="0"/>
    <n v="2"/>
    <s v="Yes"/>
    <x v="5"/>
    <x v="1"/>
  </r>
  <r>
    <x v="0"/>
    <n v="2"/>
    <s v="Yes"/>
    <x v="1"/>
    <x v="3"/>
  </r>
  <r>
    <x v="1"/>
    <n v="2"/>
    <s v="Yes"/>
    <x v="2"/>
    <x v="5"/>
  </r>
  <r>
    <x v="1"/>
    <n v="2"/>
    <s v="Yes"/>
    <x v="4"/>
    <x v="1"/>
  </r>
  <r>
    <x v="1"/>
    <n v="2"/>
    <s v="Yes"/>
    <x v="2"/>
    <x v="2"/>
  </r>
  <r>
    <x v="1"/>
    <n v="2"/>
    <s v="Yes"/>
    <x v="2"/>
    <x v="0"/>
  </r>
  <r>
    <x v="0"/>
    <n v="2"/>
    <s v="Yes"/>
    <x v="3"/>
    <x v="3"/>
  </r>
  <r>
    <x v="0"/>
    <n v="3"/>
    <s v="No"/>
    <x v="5"/>
    <x v="1"/>
  </r>
  <r>
    <x v="0"/>
    <n v="2"/>
    <s v="Yes"/>
    <x v="2"/>
    <x v="4"/>
  </r>
  <r>
    <x v="1"/>
    <n v="3"/>
    <s v="Yes"/>
    <x v="1"/>
    <x v="1"/>
  </r>
  <r>
    <x v="1"/>
    <n v="2"/>
    <s v="Yes"/>
    <x v="3"/>
    <x v="3"/>
  </r>
  <r>
    <x v="0"/>
    <n v="2"/>
    <s v="Yes"/>
    <x v="4"/>
    <x v="3"/>
  </r>
  <r>
    <x v="1"/>
    <n v="2"/>
    <s v="Yes"/>
    <x v="3"/>
    <x v="3"/>
  </r>
  <r>
    <x v="0"/>
    <n v="3"/>
    <s v="Yes"/>
    <x v="6"/>
    <x v="2"/>
  </r>
  <r>
    <x v="0"/>
    <n v="2"/>
    <s v="Yes"/>
    <x v="0"/>
    <x v="3"/>
  </r>
  <r>
    <x v="0"/>
    <n v="3"/>
    <s v="Yes"/>
    <x v="3"/>
    <x v="3"/>
  </r>
  <r>
    <x v="1"/>
    <n v="2"/>
    <s v="Yes"/>
    <x v="3"/>
    <x v="1"/>
  </r>
  <r>
    <x v="0"/>
    <n v="2"/>
    <s v="Yes"/>
    <x v="3"/>
    <x v="3"/>
  </r>
  <r>
    <x v="0"/>
    <n v="2"/>
    <s v="No"/>
    <x v="3"/>
    <x v="3"/>
  </r>
  <r>
    <x v="0"/>
    <n v="2"/>
    <s v="Yes"/>
    <x v="0"/>
    <x v="4"/>
  </r>
  <r>
    <x v="0"/>
    <n v="2"/>
    <s v="Yes"/>
    <x v="1"/>
    <x v="1"/>
  </r>
  <r>
    <x v="1"/>
    <n v="2"/>
    <s v="Yes"/>
    <x v="0"/>
    <x v="4"/>
  </r>
  <r>
    <x v="1"/>
    <n v="2"/>
    <s v="Yes"/>
    <x v="1"/>
    <x v="1"/>
  </r>
  <r>
    <x v="1"/>
    <n v="2"/>
    <s v="Yes"/>
    <x v="3"/>
    <x v="6"/>
  </r>
  <r>
    <x v="1"/>
    <n v="3"/>
    <s v="Yes"/>
    <x v="4"/>
    <x v="0"/>
  </r>
  <r>
    <x v="0"/>
    <n v="3"/>
    <s v="Yes"/>
    <x v="1"/>
    <x v="4"/>
  </r>
  <r>
    <x v="1"/>
    <n v="2"/>
    <s v="Yes"/>
    <x v="4"/>
    <x v="4"/>
  </r>
  <r>
    <x v="0"/>
    <n v="3"/>
    <s v="Yes"/>
    <x v="0"/>
    <x v="0"/>
  </r>
  <r>
    <x v="0"/>
    <n v="2"/>
    <s v="Yes"/>
    <x v="0"/>
    <x v="3"/>
  </r>
  <r>
    <x v="0"/>
    <n v="2"/>
    <s v="Yes"/>
    <x v="7"/>
    <x v="2"/>
  </r>
  <r>
    <x v="1"/>
    <n v="2"/>
    <s v="Yes"/>
    <x v="3"/>
    <x v="4"/>
  </r>
  <r>
    <x v="0"/>
    <n v="3"/>
    <s v="Yes"/>
    <x v="0"/>
    <x v="3"/>
  </r>
  <r>
    <x v="1"/>
    <n v="2"/>
    <s v="Yes"/>
    <x v="1"/>
    <x v="1"/>
  </r>
  <r>
    <x v="0"/>
    <n v="3"/>
    <s v="Yes"/>
    <x v="1"/>
    <x v="1"/>
  </r>
  <r>
    <x v="0"/>
    <n v="1"/>
    <s v="Yes"/>
    <x v="7"/>
    <x v="1"/>
  </r>
  <r>
    <x v="0"/>
    <n v="2"/>
    <s v="Yes"/>
    <x v="6"/>
    <x v="2"/>
  </r>
  <r>
    <x v="0"/>
    <n v="2"/>
    <s v="Yes"/>
    <x v="0"/>
    <x v="0"/>
  </r>
  <r>
    <x v="1"/>
    <n v="2"/>
    <s v="Yes"/>
    <x v="6"/>
    <x v="0"/>
  </r>
  <r>
    <x v="0"/>
    <n v="2"/>
    <s v="Yes"/>
    <x v="0"/>
    <x v="0"/>
  </r>
  <r>
    <x v="0"/>
    <n v="2"/>
    <s v="Yes"/>
    <x v="4"/>
    <x v="4"/>
  </r>
  <r>
    <x v="1"/>
    <n v="2"/>
    <s v="Yes"/>
    <x v="0"/>
    <x v="0"/>
  </r>
  <r>
    <x v="1"/>
    <n v="1"/>
    <s v="Yes"/>
    <x v="4"/>
    <x v="0"/>
  </r>
  <r>
    <x v="0"/>
    <n v="2"/>
    <s v="Yes"/>
    <x v="3"/>
    <x v="4"/>
  </r>
  <r>
    <x v="1"/>
    <n v="1"/>
    <s v="Yes"/>
    <x v="0"/>
    <x v="0"/>
  </r>
  <r>
    <x v="0"/>
    <n v="3"/>
    <s v="Yes"/>
    <x v="2"/>
    <x v="4"/>
  </r>
  <r>
    <x v="0"/>
    <n v="3"/>
    <s v="Yes"/>
    <x v="2"/>
    <x v="4"/>
  </r>
  <r>
    <x v="1"/>
    <n v="2"/>
    <s v="Yes"/>
    <x v="3"/>
    <x v="3"/>
  </r>
  <r>
    <x v="1"/>
    <n v="2"/>
    <s v="Yes"/>
    <x v="3"/>
    <x v="1"/>
  </r>
  <r>
    <x v="1"/>
    <n v="1"/>
    <s v="Yes"/>
    <x v="0"/>
    <x v="3"/>
  </r>
  <r>
    <x v="0"/>
    <n v="2"/>
    <s v="Yes"/>
    <x v="4"/>
    <x v="4"/>
  </r>
  <r>
    <x v="0"/>
    <n v="2"/>
    <s v="Yes"/>
    <x v="3"/>
    <x v="3"/>
  </r>
  <r>
    <x v="0"/>
    <n v="2"/>
    <s v="Yes"/>
    <x v="0"/>
    <x v="4"/>
  </r>
  <r>
    <x v="0"/>
    <n v="2"/>
    <s v="Yes"/>
    <x v="1"/>
    <x v="4"/>
  </r>
  <r>
    <x v="0"/>
    <n v="1"/>
    <s v="Yes"/>
    <x v="1"/>
    <x v="3"/>
  </r>
  <r>
    <x v="0"/>
    <n v="2"/>
    <s v="Yes"/>
    <x v="1"/>
    <x v="1"/>
  </r>
  <r>
    <x v="1"/>
    <n v="3"/>
    <s v="Yes"/>
    <x v="0"/>
    <x v="4"/>
  </r>
  <r>
    <x v="1"/>
    <n v="2"/>
    <s v="Yes"/>
    <x v="3"/>
    <x v="0"/>
  </r>
  <r>
    <x v="1"/>
    <n v="2"/>
    <s v="Yes"/>
    <x v="2"/>
    <x v="4"/>
  </r>
  <r>
    <x v="0"/>
    <n v="3"/>
    <s v="Yes"/>
    <x v="0"/>
    <x v="3"/>
  </r>
  <r>
    <x v="1"/>
    <n v="2"/>
    <s v="Yes"/>
    <x v="4"/>
    <x v="3"/>
  </r>
  <r>
    <x v="0"/>
    <n v="2"/>
    <s v="Yes"/>
    <x v="5"/>
    <x v="1"/>
  </r>
  <r>
    <x v="0"/>
    <n v="1"/>
    <s v="Yes"/>
    <x v="3"/>
    <x v="3"/>
  </r>
  <r>
    <x v="1"/>
    <n v="2"/>
    <s v="Yes"/>
    <x v="3"/>
    <x v="3"/>
  </r>
  <r>
    <x v="1"/>
    <n v="1"/>
    <s v="No"/>
    <x v="5"/>
    <x v="1"/>
  </r>
  <r>
    <x v="1"/>
    <n v="2"/>
    <s v="Yes"/>
    <x v="0"/>
    <x v="3"/>
  </r>
  <r>
    <x v="0"/>
    <n v="2"/>
    <s v="Yes"/>
    <x v="4"/>
    <x v="4"/>
  </r>
  <r>
    <x v="0"/>
    <n v="1"/>
    <s v="Yes"/>
    <x v="3"/>
    <x v="1"/>
  </r>
  <r>
    <x v="1"/>
    <n v="2"/>
    <s v="Yes"/>
    <x v="5"/>
    <x v="1"/>
  </r>
  <r>
    <x v="0"/>
    <n v="2"/>
    <s v="Yes"/>
    <x v="5"/>
    <x v="4"/>
  </r>
  <r>
    <x v="0"/>
    <n v="2"/>
    <s v="Yes"/>
    <x v="0"/>
    <x v="0"/>
  </r>
  <r>
    <x v="2"/>
    <m/>
    <m/>
    <x v="8"/>
    <x v="7"/>
  </r>
  <r>
    <x v="2"/>
    <m/>
    <m/>
    <x v="8"/>
    <x v="7"/>
  </r>
  <r>
    <x v="2"/>
    <m/>
    <m/>
    <x v="8"/>
    <x v="7"/>
  </r>
  <r>
    <x v="2"/>
    <n v="2.0499999999999998"/>
    <m/>
    <x v="9"/>
    <x v="8"/>
  </r>
  <r>
    <x v="2"/>
    <s v="18-21"/>
    <m/>
    <x v="10"/>
    <x v="9"/>
  </r>
  <r>
    <x v="2"/>
    <m/>
    <m/>
    <x v="8"/>
    <x v="7"/>
  </r>
  <r>
    <x v="2"/>
    <m/>
    <m/>
    <x v="8"/>
    <x v="7"/>
  </r>
  <r>
    <x v="2"/>
    <m/>
    <m/>
    <x v="8"/>
    <x v="7"/>
  </r>
  <r>
    <x v="2"/>
    <m/>
    <m/>
    <x v="8"/>
    <x v="7"/>
  </r>
  <r>
    <x v="2"/>
    <m/>
    <m/>
    <x v="8"/>
    <x v="7"/>
  </r>
  <r>
    <x v="2"/>
    <m/>
    <m/>
    <x v="8"/>
    <x v="7"/>
  </r>
  <r>
    <x v="2"/>
    <m/>
    <m/>
    <x v="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D3897-1AB0-46E8-A3B8-BB3FB8D31AD0}" name="PivotTable1" cacheId="2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6" firstHeaderRow="1" firstDataRow="2" firstDataCol="1"/>
  <pivotFields count="5">
    <pivotField axis="axisCol" showAll="0">
      <items count="4">
        <item x="1"/>
        <item x="0"/>
        <item h="1" x="2"/>
        <item t="default"/>
      </items>
    </pivotField>
    <pivotField showAll="0"/>
    <pivotField showAll="0"/>
    <pivotField dataField="1" showAll="0">
      <items count="12">
        <item x="5"/>
        <item x="1"/>
        <item x="3"/>
        <item x="9"/>
        <item x="0"/>
        <item x="4"/>
        <item x="2"/>
        <item x="6"/>
        <item x="7"/>
        <item x="10"/>
        <item x="8"/>
        <item t="default"/>
      </items>
    </pivotField>
    <pivotField dataField="1" showAll="0">
      <items count="11">
        <item x="1"/>
        <item x="3"/>
        <item h="1" x="8"/>
        <item x="4"/>
        <item x="0"/>
        <item x="5"/>
        <item x="2"/>
        <item x="6"/>
        <item h="1" x="9"/>
        <item h="1" x="7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0"/>
  </colFields>
  <colItems count="3">
    <i>
      <x/>
    </i>
    <i>
      <x v="1"/>
    </i>
    <i t="grand">
      <x/>
    </i>
  </colItems>
  <dataFields count="2">
    <dataField name="Count of How many hours do you spend on your mobile phone during ? [Lockdown]" fld="3" subtotal="count" baseField="0" baseItem="0"/>
    <dataField name="Count of How many hours do you spend on your mobile phone during ? [post-Lockdown]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4D38E-9E4A-4929-A243-11E8C7C720A5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8" firstHeaderRow="1" firstDataRow="2" firstDataCol="1"/>
  <pivotFields count="12"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Age 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7123D-E9E5-4272-A892-A5C9230691B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7" firstHeaderRow="1" firstDataRow="2" firstDataCol="1"/>
  <pivotFields count="2">
    <pivotField axis="axisRow" dataField="1" showAll="0">
      <items count="4">
        <item x="1"/>
        <item x="0"/>
        <item h="1" x="2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b.sc/" TargetMode="External"/><Relationship Id="rId7" Type="http://schemas.openxmlformats.org/officeDocument/2006/relationships/hyperlink" Target="http://fy.ba/" TargetMode="External"/><Relationship Id="rId2" Type="http://schemas.openxmlformats.org/officeDocument/2006/relationships/hyperlink" Target="http://m.com/" TargetMode="External"/><Relationship Id="rId1" Type="http://schemas.openxmlformats.org/officeDocument/2006/relationships/hyperlink" Target="http://m.com/" TargetMode="External"/><Relationship Id="rId6" Type="http://schemas.openxmlformats.org/officeDocument/2006/relationships/hyperlink" Target="http://fy.ba/" TargetMode="External"/><Relationship Id="rId5" Type="http://schemas.openxmlformats.org/officeDocument/2006/relationships/hyperlink" Target="http://ty.ba/" TargetMode="External"/><Relationship Id="rId4" Type="http://schemas.openxmlformats.org/officeDocument/2006/relationships/hyperlink" Target="http://sy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F2EB-FECD-45F5-A67D-089178CF17A5}">
  <dimension ref="A3:D6"/>
  <sheetViews>
    <sheetView workbookViewId="0">
      <selection activeCell="A3" sqref="A3"/>
    </sheetView>
  </sheetViews>
  <sheetFormatPr defaultRowHeight="13.2" x14ac:dyDescent="0.25"/>
  <cols>
    <col min="1" max="1" width="74.33203125" bestFit="1" customWidth="1"/>
    <col min="2" max="2" width="16.21875" bestFit="1" customWidth="1"/>
    <col min="3" max="3" width="4.88671875" bestFit="1" customWidth="1"/>
    <col min="4" max="4" width="11.33203125" bestFit="1" customWidth="1"/>
    <col min="5" max="5" width="81.44140625" bestFit="1" customWidth="1"/>
    <col min="6" max="6" width="86.109375" bestFit="1" customWidth="1"/>
    <col min="7" max="10" width="3" bestFit="1" customWidth="1"/>
    <col min="11" max="11" width="3.6640625" bestFit="1" customWidth="1"/>
    <col min="12" max="12" width="7" bestFit="1" customWidth="1"/>
    <col min="13" max="13" width="11.33203125" bestFit="1" customWidth="1"/>
    <col min="14" max="14" width="3" bestFit="1" customWidth="1"/>
    <col min="15" max="16" width="6.88671875" bestFit="1" customWidth="1"/>
    <col min="17" max="17" width="9.44140625" bestFit="1" customWidth="1"/>
    <col min="18" max="18" width="3.88671875" bestFit="1" customWidth="1"/>
    <col min="19" max="21" width="2" bestFit="1" customWidth="1"/>
    <col min="22" max="22" width="6.88671875" bestFit="1" customWidth="1"/>
    <col min="23" max="23" width="3.88671875" bestFit="1" customWidth="1"/>
    <col min="24" max="26" width="2" bestFit="1" customWidth="1"/>
    <col min="27" max="27" width="6.88671875" bestFit="1" customWidth="1"/>
    <col min="28" max="28" width="3.88671875" bestFit="1" customWidth="1"/>
    <col min="29" max="32" width="2" bestFit="1" customWidth="1"/>
    <col min="33" max="33" width="6.88671875" bestFit="1" customWidth="1"/>
    <col min="34" max="34" width="4.88671875" bestFit="1" customWidth="1"/>
    <col min="35" max="36" width="2" bestFit="1" customWidth="1"/>
    <col min="37" max="37" width="7.88671875" bestFit="1" customWidth="1"/>
    <col min="38" max="38" width="4.88671875" bestFit="1" customWidth="1"/>
    <col min="39" max="39" width="2" bestFit="1" customWidth="1"/>
    <col min="40" max="40" width="7.88671875" bestFit="1" customWidth="1"/>
    <col min="41" max="41" width="5.5546875" bestFit="1" customWidth="1"/>
    <col min="42" max="42" width="8.5546875" bestFit="1" customWidth="1"/>
    <col min="44" max="44" width="11.88671875" bestFit="1" customWidth="1"/>
    <col min="45" max="45" width="11.33203125" bestFit="1" customWidth="1"/>
  </cols>
  <sheetData>
    <row r="3" spans="1:4" x14ac:dyDescent="0.25">
      <c r="B3" s="33" t="s">
        <v>276</v>
      </c>
    </row>
    <row r="4" spans="1:4" x14ac:dyDescent="0.25">
      <c r="A4" s="33" t="s">
        <v>303</v>
      </c>
      <c r="B4" t="s">
        <v>19</v>
      </c>
      <c r="C4" t="s">
        <v>27</v>
      </c>
      <c r="D4" t="s">
        <v>275</v>
      </c>
    </row>
    <row r="5" spans="1:4" x14ac:dyDescent="0.25">
      <c r="A5" s="34" t="s">
        <v>301</v>
      </c>
      <c r="B5" s="15">
        <v>38</v>
      </c>
      <c r="C5" s="15">
        <v>62</v>
      </c>
      <c r="D5" s="15">
        <v>100</v>
      </c>
    </row>
    <row r="6" spans="1:4" x14ac:dyDescent="0.25">
      <c r="A6" s="34" t="s">
        <v>302</v>
      </c>
      <c r="B6" s="15">
        <v>38</v>
      </c>
      <c r="C6" s="15">
        <v>62</v>
      </c>
      <c r="D6" s="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01"/>
  <sheetViews>
    <sheetView topLeftCell="P1" zoomScaleNormal="100" workbookViewId="0">
      <pane ySplit="1" topLeftCell="A2" activePane="bottomLeft" state="frozen"/>
      <selection pane="bottomLeft" activeCell="S1" sqref="S1"/>
    </sheetView>
  </sheetViews>
  <sheetFormatPr defaultColWidth="14.44140625" defaultRowHeight="15.75" customHeight="1" x14ac:dyDescent="0.25"/>
  <cols>
    <col min="1" max="14" width="21.5546875" customWidth="1"/>
    <col min="15" max="15" width="80" customWidth="1"/>
    <col min="16" max="24" width="21.5546875" customWidth="1"/>
  </cols>
  <sheetData>
    <row r="1" spans="1:24" s="13" customFormat="1" ht="67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304</v>
      </c>
      <c r="S1" s="1"/>
      <c r="T1" s="1"/>
      <c r="U1" s="1"/>
      <c r="V1" s="1"/>
      <c r="W1" s="1"/>
      <c r="X1" s="1"/>
    </row>
    <row r="2" spans="1:24" ht="13.2" x14ac:dyDescent="0.25">
      <c r="A2" s="3">
        <v>44557.391616990746</v>
      </c>
      <c r="B2" s="5" t="s">
        <v>136</v>
      </c>
      <c r="C2" s="5" t="s">
        <v>40</v>
      </c>
      <c r="D2" s="5" t="s">
        <v>27</v>
      </c>
      <c r="E2" s="12">
        <v>1</v>
      </c>
      <c r="F2" s="5" t="s">
        <v>20</v>
      </c>
      <c r="G2" s="12">
        <v>7</v>
      </c>
      <c r="H2" s="12">
        <v>7</v>
      </c>
      <c r="I2" s="12">
        <v>5</v>
      </c>
      <c r="J2" s="12">
        <v>6</v>
      </c>
      <c r="K2" s="5">
        <v>2</v>
      </c>
      <c r="L2" s="5">
        <v>2</v>
      </c>
      <c r="M2" s="5">
        <v>1</v>
      </c>
      <c r="N2" s="5">
        <v>1</v>
      </c>
      <c r="O2" s="5" t="s">
        <v>46</v>
      </c>
      <c r="P2" s="5" t="s">
        <v>20</v>
      </c>
      <c r="Q2" s="5" t="s">
        <v>20</v>
      </c>
      <c r="R2" s="5" t="s">
        <v>33</v>
      </c>
    </row>
    <row r="3" spans="1:24" ht="13.2" x14ac:dyDescent="0.25">
      <c r="A3" s="3">
        <v>44557.58294472222</v>
      </c>
      <c r="B3" s="4" t="s">
        <v>160</v>
      </c>
      <c r="C3" s="4" t="s">
        <v>78</v>
      </c>
      <c r="D3" s="4" t="s">
        <v>19</v>
      </c>
      <c r="E3" s="12">
        <v>1</v>
      </c>
      <c r="F3" s="4" t="s">
        <v>20</v>
      </c>
      <c r="G3" s="12">
        <v>5</v>
      </c>
      <c r="H3" s="12">
        <v>4</v>
      </c>
      <c r="I3" s="12">
        <v>5</v>
      </c>
      <c r="J3" s="12">
        <v>5</v>
      </c>
      <c r="K3" s="4">
        <v>2</v>
      </c>
      <c r="L3" s="4">
        <v>2</v>
      </c>
      <c r="M3" s="4">
        <v>1</v>
      </c>
      <c r="N3" s="4">
        <v>1</v>
      </c>
      <c r="O3" s="5" t="s">
        <v>28</v>
      </c>
      <c r="P3" s="4" t="s">
        <v>20</v>
      </c>
      <c r="Q3" s="4" t="s">
        <v>20</v>
      </c>
      <c r="R3" s="4" t="s">
        <v>305</v>
      </c>
    </row>
    <row r="4" spans="1:24" ht="13.2" x14ac:dyDescent="0.25">
      <c r="A4" s="3">
        <v>44557.725595069445</v>
      </c>
      <c r="B4" s="4" t="s">
        <v>166</v>
      </c>
      <c r="C4" s="4" t="s">
        <v>40</v>
      </c>
      <c r="D4" s="4" t="s">
        <v>27</v>
      </c>
      <c r="E4" s="12">
        <v>1</v>
      </c>
      <c r="F4" s="4" t="s">
        <v>20</v>
      </c>
      <c r="G4" s="12">
        <v>9</v>
      </c>
      <c r="H4" s="12">
        <v>9</v>
      </c>
      <c r="I4" s="12">
        <v>7</v>
      </c>
      <c r="J4" s="12">
        <v>7</v>
      </c>
      <c r="K4" s="4">
        <v>2</v>
      </c>
      <c r="L4" s="4">
        <v>2</v>
      </c>
      <c r="M4" s="4">
        <v>1</v>
      </c>
      <c r="N4" s="4">
        <v>1</v>
      </c>
      <c r="O4" s="5" t="s">
        <v>46</v>
      </c>
      <c r="P4" s="4" t="s">
        <v>20</v>
      </c>
      <c r="Q4" s="4" t="s">
        <v>20</v>
      </c>
      <c r="R4" s="4" t="s">
        <v>33</v>
      </c>
    </row>
    <row r="5" spans="1:24" ht="13.2" x14ac:dyDescent="0.25">
      <c r="A5" s="3">
        <v>44555.785138009262</v>
      </c>
      <c r="B5" s="4" t="s">
        <v>69</v>
      </c>
      <c r="C5" s="4" t="s">
        <v>70</v>
      </c>
      <c r="D5" s="4" t="s">
        <v>27</v>
      </c>
      <c r="E5" s="12">
        <v>2</v>
      </c>
      <c r="F5" s="4" t="s">
        <v>20</v>
      </c>
      <c r="G5" s="12">
        <v>9</v>
      </c>
      <c r="H5" s="12">
        <v>5</v>
      </c>
      <c r="I5" s="12">
        <v>5</v>
      </c>
      <c r="J5" s="12">
        <v>5</v>
      </c>
      <c r="K5" s="4">
        <v>8</v>
      </c>
      <c r="L5" s="4">
        <v>4</v>
      </c>
      <c r="M5" s="4">
        <v>1</v>
      </c>
      <c r="N5" s="4">
        <v>1</v>
      </c>
      <c r="O5" s="5" t="s">
        <v>46</v>
      </c>
      <c r="P5" s="4" t="s">
        <v>20</v>
      </c>
      <c r="Q5" s="4" t="s">
        <v>43</v>
      </c>
      <c r="R5" s="4" t="s">
        <v>305</v>
      </c>
    </row>
    <row r="6" spans="1:24" ht="13.2" x14ac:dyDescent="0.25">
      <c r="A6" s="3">
        <v>44555.753260798607</v>
      </c>
      <c r="B6" s="4" t="s">
        <v>34</v>
      </c>
      <c r="C6" s="4" t="s">
        <v>35</v>
      </c>
      <c r="D6" s="4" t="s">
        <v>27</v>
      </c>
      <c r="E6" s="12">
        <v>3</v>
      </c>
      <c r="F6" s="4" t="s">
        <v>20</v>
      </c>
      <c r="G6" s="12">
        <v>6</v>
      </c>
      <c r="H6" s="12">
        <v>5</v>
      </c>
      <c r="I6" s="12">
        <v>6</v>
      </c>
      <c r="J6" s="12">
        <v>5</v>
      </c>
      <c r="K6" s="4">
        <v>4</v>
      </c>
      <c r="L6" s="4">
        <v>4</v>
      </c>
      <c r="M6" s="4">
        <v>3</v>
      </c>
      <c r="N6" s="4">
        <v>1</v>
      </c>
      <c r="O6" s="5" t="s">
        <v>24</v>
      </c>
      <c r="P6" s="4" t="s">
        <v>20</v>
      </c>
      <c r="Q6" s="4" t="s">
        <v>20</v>
      </c>
      <c r="R6" s="4" t="s">
        <v>33</v>
      </c>
    </row>
    <row r="7" spans="1:24" ht="13.2" x14ac:dyDescent="0.25">
      <c r="A7" s="3">
        <v>44555.879828449077</v>
      </c>
      <c r="B7" s="4" t="s">
        <v>104</v>
      </c>
      <c r="C7" s="4" t="s">
        <v>23</v>
      </c>
      <c r="D7" s="4" t="s">
        <v>27</v>
      </c>
      <c r="E7" s="12">
        <v>2</v>
      </c>
      <c r="F7" s="4" t="s">
        <v>20</v>
      </c>
      <c r="G7" s="12">
        <v>7</v>
      </c>
      <c r="H7" s="12">
        <v>6</v>
      </c>
      <c r="I7" s="12">
        <v>5</v>
      </c>
      <c r="J7" s="12">
        <v>6</v>
      </c>
      <c r="K7" s="4">
        <v>2</v>
      </c>
      <c r="L7" s="4">
        <v>2</v>
      </c>
      <c r="M7" s="4">
        <v>4</v>
      </c>
      <c r="N7" s="4">
        <v>1</v>
      </c>
      <c r="O7" s="5" t="s">
        <v>21</v>
      </c>
      <c r="P7" s="4" t="s">
        <v>20</v>
      </c>
      <c r="Q7" s="4" t="s">
        <v>20</v>
      </c>
      <c r="R7" s="4" t="s">
        <v>305</v>
      </c>
    </row>
    <row r="8" spans="1:24" ht="13.2" x14ac:dyDescent="0.25">
      <c r="A8" s="3">
        <v>44555.756703506944</v>
      </c>
      <c r="B8" s="4" t="s">
        <v>39</v>
      </c>
      <c r="C8" s="4" t="s">
        <v>40</v>
      </c>
      <c r="D8" s="4" t="s">
        <v>27</v>
      </c>
      <c r="E8" s="12">
        <v>1</v>
      </c>
      <c r="F8" s="4" t="s">
        <v>20</v>
      </c>
      <c r="G8" s="12">
        <v>7</v>
      </c>
      <c r="H8" s="12">
        <v>5</v>
      </c>
      <c r="I8" s="12">
        <v>5</v>
      </c>
      <c r="J8" s="12">
        <v>6</v>
      </c>
      <c r="K8" s="4">
        <v>2</v>
      </c>
      <c r="L8" s="4">
        <v>4</v>
      </c>
      <c r="M8" s="4">
        <v>4</v>
      </c>
      <c r="N8" s="4">
        <v>1</v>
      </c>
      <c r="O8" s="5" t="s">
        <v>28</v>
      </c>
      <c r="P8" s="4" t="s">
        <v>20</v>
      </c>
      <c r="Q8" s="4" t="s">
        <v>20</v>
      </c>
      <c r="R8" s="4" t="s">
        <v>305</v>
      </c>
    </row>
    <row r="9" spans="1:24" ht="13.2" x14ac:dyDescent="0.25">
      <c r="A9" s="3">
        <v>44557.505264421299</v>
      </c>
      <c r="B9" s="4" t="s">
        <v>155</v>
      </c>
      <c r="C9" s="5" t="s">
        <v>35</v>
      </c>
      <c r="D9" s="4" t="s">
        <v>27</v>
      </c>
      <c r="E9" s="12">
        <v>2</v>
      </c>
      <c r="F9" s="4" t="s">
        <v>20</v>
      </c>
      <c r="G9" s="12">
        <v>6</v>
      </c>
      <c r="H9" s="12">
        <v>6</v>
      </c>
      <c r="I9" s="12">
        <v>6</v>
      </c>
      <c r="J9" s="12">
        <v>6</v>
      </c>
      <c r="K9" s="4">
        <v>4</v>
      </c>
      <c r="L9" s="4">
        <v>2</v>
      </c>
      <c r="M9" s="4">
        <v>4</v>
      </c>
      <c r="N9" s="4">
        <v>1</v>
      </c>
      <c r="O9" s="5" t="s">
        <v>156</v>
      </c>
      <c r="P9" s="4" t="s">
        <v>43</v>
      </c>
      <c r="Q9" s="4" t="s">
        <v>43</v>
      </c>
      <c r="R9" s="4" t="s">
        <v>305</v>
      </c>
    </row>
    <row r="10" spans="1:24" ht="13.2" x14ac:dyDescent="0.25">
      <c r="A10" s="3">
        <v>44557.476312037033</v>
      </c>
      <c r="B10" s="4" t="s">
        <v>153</v>
      </c>
      <c r="C10" s="5" t="s">
        <v>82</v>
      </c>
      <c r="D10" s="4" t="s">
        <v>27</v>
      </c>
      <c r="E10" s="12">
        <v>3</v>
      </c>
      <c r="F10" s="4" t="s">
        <v>20</v>
      </c>
      <c r="G10" s="12">
        <v>8</v>
      </c>
      <c r="H10" s="12">
        <v>5</v>
      </c>
      <c r="I10" s="12">
        <v>6</v>
      </c>
      <c r="J10" s="12">
        <v>6</v>
      </c>
      <c r="K10" s="4">
        <v>2</v>
      </c>
      <c r="L10" s="4">
        <v>2</v>
      </c>
      <c r="M10" s="4">
        <v>5</v>
      </c>
      <c r="N10" s="4">
        <v>1</v>
      </c>
      <c r="O10" s="5" t="s">
        <v>30</v>
      </c>
      <c r="P10" s="4" t="s">
        <v>20</v>
      </c>
      <c r="Q10" s="4" t="s">
        <v>43</v>
      </c>
      <c r="R10" s="4" t="s">
        <v>305</v>
      </c>
    </row>
    <row r="11" spans="1:24" ht="13.2" x14ac:dyDescent="0.25">
      <c r="A11" s="3">
        <v>44557.687163865739</v>
      </c>
      <c r="B11" s="4" t="s">
        <v>163</v>
      </c>
      <c r="C11" s="5" t="s">
        <v>164</v>
      </c>
      <c r="D11" s="4" t="s">
        <v>19</v>
      </c>
      <c r="E11" s="12">
        <v>2</v>
      </c>
      <c r="F11" s="4" t="s">
        <v>20</v>
      </c>
      <c r="G11" s="12">
        <v>9</v>
      </c>
      <c r="H11" s="12">
        <v>7</v>
      </c>
      <c r="I11" s="12">
        <v>6</v>
      </c>
      <c r="J11" s="12">
        <v>5</v>
      </c>
      <c r="K11" s="4">
        <v>4</v>
      </c>
      <c r="L11" s="4">
        <v>6</v>
      </c>
      <c r="M11" s="4">
        <v>5</v>
      </c>
      <c r="N11" s="4">
        <v>1</v>
      </c>
      <c r="O11" s="5" t="s">
        <v>46</v>
      </c>
      <c r="P11" s="4" t="s">
        <v>20</v>
      </c>
      <c r="Q11" s="4" t="s">
        <v>43</v>
      </c>
      <c r="R11" s="4" t="s">
        <v>305</v>
      </c>
    </row>
    <row r="12" spans="1:24" ht="13.2" x14ac:dyDescent="0.25">
      <c r="A12" s="3">
        <v>44555.74452231481</v>
      </c>
      <c r="B12" s="4" t="s">
        <v>25</v>
      </c>
      <c r="C12" s="5" t="s">
        <v>26</v>
      </c>
      <c r="D12" s="4" t="s">
        <v>27</v>
      </c>
      <c r="E12" s="12">
        <v>2</v>
      </c>
      <c r="F12" s="4" t="s">
        <v>20</v>
      </c>
      <c r="G12" s="12">
        <v>6</v>
      </c>
      <c r="H12" s="12">
        <v>5</v>
      </c>
      <c r="I12" s="12">
        <v>6</v>
      </c>
      <c r="J12" s="12">
        <v>7</v>
      </c>
      <c r="K12" s="4">
        <v>6</v>
      </c>
      <c r="L12" s="4">
        <v>2</v>
      </c>
      <c r="M12" s="4">
        <v>5</v>
      </c>
      <c r="N12" s="4">
        <v>1</v>
      </c>
      <c r="O12" s="5" t="s">
        <v>28</v>
      </c>
      <c r="P12" s="4" t="s">
        <v>20</v>
      </c>
      <c r="Q12" s="4" t="s">
        <v>20</v>
      </c>
      <c r="R12" s="4" t="s">
        <v>305</v>
      </c>
    </row>
    <row r="13" spans="1:24" ht="13.2" x14ac:dyDescent="0.25">
      <c r="A13" s="3">
        <v>44557.519557673615</v>
      </c>
      <c r="B13" s="4" t="s">
        <v>158</v>
      </c>
      <c r="C13" s="5" t="s">
        <v>159</v>
      </c>
      <c r="D13" s="4" t="s">
        <v>27</v>
      </c>
      <c r="E13" s="12">
        <v>2</v>
      </c>
      <c r="F13" s="4" t="s">
        <v>20</v>
      </c>
      <c r="G13" s="12">
        <v>5</v>
      </c>
      <c r="H13" s="12">
        <v>5</v>
      </c>
      <c r="I13" s="12">
        <v>5</v>
      </c>
      <c r="J13" s="12">
        <v>5</v>
      </c>
      <c r="K13" s="4">
        <v>2</v>
      </c>
      <c r="L13" s="4">
        <v>2</v>
      </c>
      <c r="M13" s="4">
        <v>2</v>
      </c>
      <c r="N13" s="4">
        <v>2</v>
      </c>
      <c r="O13" s="5" t="s">
        <v>55</v>
      </c>
      <c r="P13" s="4" t="s">
        <v>20</v>
      </c>
      <c r="Q13" s="4" t="s">
        <v>20</v>
      </c>
      <c r="R13" s="4" t="s">
        <v>305</v>
      </c>
    </row>
    <row r="14" spans="1:24" ht="13.2" x14ac:dyDescent="0.25">
      <c r="A14" s="3">
        <v>44557.372970381941</v>
      </c>
      <c r="B14" s="4" t="s">
        <v>125</v>
      </c>
      <c r="C14" s="5" t="s">
        <v>126</v>
      </c>
      <c r="D14" s="4" t="s">
        <v>27</v>
      </c>
      <c r="E14" s="12">
        <v>3</v>
      </c>
      <c r="F14" s="4" t="s">
        <v>20</v>
      </c>
      <c r="G14" s="12">
        <v>6</v>
      </c>
      <c r="H14" s="12">
        <v>5</v>
      </c>
      <c r="I14" s="12">
        <v>5</v>
      </c>
      <c r="J14" s="12">
        <v>5</v>
      </c>
      <c r="K14" s="4">
        <v>2</v>
      </c>
      <c r="L14" s="4">
        <v>6</v>
      </c>
      <c r="M14" s="4">
        <v>2</v>
      </c>
      <c r="N14" s="4">
        <v>2</v>
      </c>
      <c r="O14" s="5" t="s">
        <v>63</v>
      </c>
      <c r="P14" s="4" t="s">
        <v>20</v>
      </c>
      <c r="Q14" s="4" t="s">
        <v>20</v>
      </c>
      <c r="R14" s="4" t="s">
        <v>305</v>
      </c>
    </row>
    <row r="15" spans="1:24" ht="13.2" x14ac:dyDescent="0.25">
      <c r="A15" s="3">
        <v>44557.752365636574</v>
      </c>
      <c r="B15" s="4" t="s">
        <v>169</v>
      </c>
      <c r="C15" s="5" t="s">
        <v>40</v>
      </c>
      <c r="D15" s="4" t="s">
        <v>27</v>
      </c>
      <c r="E15" s="12">
        <v>2</v>
      </c>
      <c r="F15" s="4" t="s">
        <v>20</v>
      </c>
      <c r="G15" s="12">
        <v>6</v>
      </c>
      <c r="H15" s="12">
        <v>5</v>
      </c>
      <c r="I15" s="12">
        <v>5</v>
      </c>
      <c r="J15" s="12">
        <v>6</v>
      </c>
      <c r="K15" s="4">
        <v>2</v>
      </c>
      <c r="L15" s="4">
        <v>4</v>
      </c>
      <c r="M15" s="4">
        <v>3</v>
      </c>
      <c r="N15" s="4">
        <v>2</v>
      </c>
      <c r="O15" s="5" t="s">
        <v>28</v>
      </c>
      <c r="P15" s="4" t="s">
        <v>20</v>
      </c>
      <c r="Q15" s="4" t="s">
        <v>20</v>
      </c>
      <c r="R15" s="4" t="s">
        <v>33</v>
      </c>
    </row>
    <row r="16" spans="1:24" ht="13.2" x14ac:dyDescent="0.25">
      <c r="A16" s="3">
        <v>44565.386505393515</v>
      </c>
      <c r="B16" s="4" t="s">
        <v>180</v>
      </c>
      <c r="C16" s="5" t="s">
        <v>181</v>
      </c>
      <c r="D16" s="4" t="s">
        <v>27</v>
      </c>
      <c r="E16" s="12">
        <v>2</v>
      </c>
      <c r="F16" s="4" t="s">
        <v>20</v>
      </c>
      <c r="G16" s="12">
        <v>6</v>
      </c>
      <c r="H16" s="12">
        <v>5</v>
      </c>
      <c r="I16" s="12">
        <v>6</v>
      </c>
      <c r="J16" s="12">
        <v>7</v>
      </c>
      <c r="K16" s="4">
        <v>4</v>
      </c>
      <c r="L16" s="4">
        <v>2</v>
      </c>
      <c r="M16" s="4">
        <v>3</v>
      </c>
      <c r="N16" s="4">
        <v>2</v>
      </c>
      <c r="O16" s="5" t="s">
        <v>28</v>
      </c>
      <c r="P16" s="4" t="s">
        <v>20</v>
      </c>
      <c r="Q16" s="4" t="s">
        <v>20</v>
      </c>
      <c r="R16" s="4" t="s">
        <v>33</v>
      </c>
    </row>
    <row r="17" spans="1:18" ht="13.2" x14ac:dyDescent="0.25">
      <c r="A17" s="3">
        <v>44556.827361909724</v>
      </c>
      <c r="B17" s="4" t="s">
        <v>123</v>
      </c>
      <c r="C17" s="4" t="s">
        <v>26</v>
      </c>
      <c r="D17" s="4" t="s">
        <v>19</v>
      </c>
      <c r="E17" s="12">
        <v>2</v>
      </c>
      <c r="F17" s="4" t="s">
        <v>20</v>
      </c>
      <c r="G17" s="12">
        <v>7</v>
      </c>
      <c r="H17" s="12">
        <v>5</v>
      </c>
      <c r="I17" s="12">
        <v>7</v>
      </c>
      <c r="J17" s="12">
        <v>7</v>
      </c>
      <c r="K17" s="4">
        <v>4</v>
      </c>
      <c r="L17" s="4">
        <v>4</v>
      </c>
      <c r="M17" s="4">
        <v>3</v>
      </c>
      <c r="N17" s="4">
        <v>2</v>
      </c>
      <c r="O17" s="5" t="s">
        <v>124</v>
      </c>
      <c r="P17" s="4" t="s">
        <v>20</v>
      </c>
      <c r="Q17" s="4" t="s">
        <v>20</v>
      </c>
      <c r="R17" s="4" t="s">
        <v>305</v>
      </c>
    </row>
    <row r="18" spans="1:18" ht="13.2" x14ac:dyDescent="0.25">
      <c r="A18" s="3">
        <v>44568.511960532407</v>
      </c>
      <c r="B18" s="4" t="s">
        <v>197</v>
      </c>
      <c r="C18" s="4" t="s">
        <v>198</v>
      </c>
      <c r="D18" s="4" t="s">
        <v>27</v>
      </c>
      <c r="E18" s="12">
        <v>3</v>
      </c>
      <c r="F18" s="4" t="s">
        <v>20</v>
      </c>
      <c r="G18" s="12">
        <v>7</v>
      </c>
      <c r="H18" s="12">
        <v>6</v>
      </c>
      <c r="I18" s="12">
        <v>6</v>
      </c>
      <c r="J18" s="12">
        <v>5</v>
      </c>
      <c r="K18" s="4">
        <v>4</v>
      </c>
      <c r="L18" s="4">
        <v>6</v>
      </c>
      <c r="M18" s="4">
        <v>3</v>
      </c>
      <c r="N18" s="4">
        <v>2</v>
      </c>
      <c r="O18" s="5" t="s">
        <v>28</v>
      </c>
      <c r="P18" s="4" t="s">
        <v>20</v>
      </c>
      <c r="Q18" s="4" t="s">
        <v>20</v>
      </c>
      <c r="R18" s="4" t="s">
        <v>33</v>
      </c>
    </row>
    <row r="19" spans="1:18" ht="13.2" x14ac:dyDescent="0.25">
      <c r="A19" s="3">
        <v>44555.765534525461</v>
      </c>
      <c r="B19" s="4" t="s">
        <v>50</v>
      </c>
      <c r="C19" s="5" t="s">
        <v>51</v>
      </c>
      <c r="D19" s="4" t="s">
        <v>27</v>
      </c>
      <c r="E19" s="12">
        <v>2</v>
      </c>
      <c r="F19" s="4" t="s">
        <v>20</v>
      </c>
      <c r="G19" s="12">
        <v>8</v>
      </c>
      <c r="H19" s="12">
        <v>6</v>
      </c>
      <c r="I19" s="12">
        <v>7</v>
      </c>
      <c r="J19" s="12">
        <v>7</v>
      </c>
      <c r="K19" s="4">
        <v>2</v>
      </c>
      <c r="L19" s="4">
        <v>2</v>
      </c>
      <c r="M19" s="4">
        <v>5</v>
      </c>
      <c r="N19" s="4">
        <v>2</v>
      </c>
      <c r="O19" s="5" t="s">
        <v>24</v>
      </c>
      <c r="P19" s="4" t="s">
        <v>20</v>
      </c>
      <c r="Q19" s="4" t="s">
        <v>20</v>
      </c>
      <c r="R19" s="4" t="s">
        <v>305</v>
      </c>
    </row>
    <row r="20" spans="1:18" ht="13.2" x14ac:dyDescent="0.25">
      <c r="A20" s="3">
        <v>44557.460425416662</v>
      </c>
      <c r="B20" s="4" t="s">
        <v>150</v>
      </c>
      <c r="C20" s="5" t="s">
        <v>151</v>
      </c>
      <c r="D20" s="4" t="s">
        <v>27</v>
      </c>
      <c r="E20" s="12">
        <v>2</v>
      </c>
      <c r="F20" s="4" t="s">
        <v>20</v>
      </c>
      <c r="G20" s="12">
        <v>8</v>
      </c>
      <c r="H20" s="12">
        <v>6</v>
      </c>
      <c r="I20" s="12">
        <v>7</v>
      </c>
      <c r="J20" s="12">
        <v>5</v>
      </c>
      <c r="K20" s="4">
        <v>10</v>
      </c>
      <c r="L20" s="4">
        <v>8</v>
      </c>
      <c r="M20" s="4">
        <v>5</v>
      </c>
      <c r="N20" s="4">
        <v>2</v>
      </c>
      <c r="O20" s="5" t="s">
        <v>28</v>
      </c>
      <c r="P20" s="4" t="s">
        <v>20</v>
      </c>
      <c r="Q20" s="4" t="s">
        <v>43</v>
      </c>
      <c r="R20" s="4" t="s">
        <v>33</v>
      </c>
    </row>
    <row r="21" spans="1:18" ht="13.2" x14ac:dyDescent="0.25">
      <c r="A21" s="3">
        <v>44557.495699363426</v>
      </c>
      <c r="B21" s="4" t="s">
        <v>154</v>
      </c>
      <c r="C21" s="7" t="s">
        <v>147</v>
      </c>
      <c r="D21" s="4" t="s">
        <v>27</v>
      </c>
      <c r="E21" s="12">
        <v>2</v>
      </c>
      <c r="F21" s="4" t="s">
        <v>20</v>
      </c>
      <c r="G21" s="12">
        <v>6</v>
      </c>
      <c r="H21" s="12">
        <v>5</v>
      </c>
      <c r="I21" s="12">
        <v>6</v>
      </c>
      <c r="J21" s="12">
        <v>5</v>
      </c>
      <c r="K21" s="4">
        <v>2</v>
      </c>
      <c r="L21" s="4">
        <v>4</v>
      </c>
      <c r="M21" s="4">
        <v>1</v>
      </c>
      <c r="N21" s="4">
        <v>3</v>
      </c>
      <c r="O21" s="5" t="s">
        <v>28</v>
      </c>
      <c r="P21" s="4" t="s">
        <v>43</v>
      </c>
      <c r="Q21" s="4" t="s">
        <v>43</v>
      </c>
      <c r="R21" s="4" t="s">
        <v>33</v>
      </c>
    </row>
    <row r="22" spans="1:18" ht="13.2" x14ac:dyDescent="0.25">
      <c r="A22" s="3">
        <v>44555.810285231477</v>
      </c>
      <c r="B22" s="4" t="s">
        <v>90</v>
      </c>
      <c r="C22" s="5" t="s">
        <v>91</v>
      </c>
      <c r="D22" s="4" t="s">
        <v>19</v>
      </c>
      <c r="E22" s="12">
        <v>1</v>
      </c>
      <c r="F22" s="4" t="s">
        <v>20</v>
      </c>
      <c r="G22" s="12">
        <v>7</v>
      </c>
      <c r="H22" s="12">
        <v>5</v>
      </c>
      <c r="I22" s="12">
        <v>6</v>
      </c>
      <c r="J22" s="12">
        <v>5</v>
      </c>
      <c r="K22" s="4">
        <v>2</v>
      </c>
      <c r="L22" s="4">
        <v>8</v>
      </c>
      <c r="M22" s="4">
        <v>1</v>
      </c>
      <c r="N22" s="4">
        <v>3</v>
      </c>
      <c r="O22" s="5" t="s">
        <v>60</v>
      </c>
      <c r="P22" s="4" t="s">
        <v>20</v>
      </c>
      <c r="Q22" s="4" t="s">
        <v>20</v>
      </c>
      <c r="R22" s="4" t="s">
        <v>305</v>
      </c>
    </row>
    <row r="23" spans="1:18" ht="13.2" x14ac:dyDescent="0.25">
      <c r="A23" s="3">
        <v>44555.745619803245</v>
      </c>
      <c r="B23" s="4" t="s">
        <v>29</v>
      </c>
      <c r="C23" s="4" t="s">
        <v>26</v>
      </c>
      <c r="D23" s="4" t="s">
        <v>27</v>
      </c>
      <c r="E23" s="12">
        <v>2</v>
      </c>
      <c r="F23" s="4" t="s">
        <v>20</v>
      </c>
      <c r="G23" s="12">
        <v>8</v>
      </c>
      <c r="H23" s="12">
        <v>4</v>
      </c>
      <c r="I23" s="12">
        <v>7</v>
      </c>
      <c r="J23" s="12">
        <v>5</v>
      </c>
      <c r="K23" s="4">
        <v>2</v>
      </c>
      <c r="L23" s="4">
        <v>2</v>
      </c>
      <c r="M23" s="4">
        <v>2</v>
      </c>
      <c r="N23" s="4">
        <v>3</v>
      </c>
      <c r="O23" s="5" t="s">
        <v>30</v>
      </c>
      <c r="P23" s="4" t="s">
        <v>20</v>
      </c>
      <c r="Q23" s="4" t="s">
        <v>20</v>
      </c>
      <c r="R23" s="4" t="s">
        <v>305</v>
      </c>
    </row>
    <row r="24" spans="1:18" ht="13.2" x14ac:dyDescent="0.25">
      <c r="A24" s="3">
        <v>44555.774568437497</v>
      </c>
      <c r="B24" s="4" t="s">
        <v>56</v>
      </c>
      <c r="C24" s="5" t="s">
        <v>57</v>
      </c>
      <c r="D24" s="4" t="s">
        <v>27</v>
      </c>
      <c r="E24" s="12">
        <v>3</v>
      </c>
      <c r="F24" s="4" t="s">
        <v>20</v>
      </c>
      <c r="G24" s="12">
        <v>4</v>
      </c>
      <c r="H24" s="12">
        <v>4</v>
      </c>
      <c r="I24" s="12">
        <v>5</v>
      </c>
      <c r="J24" s="12">
        <v>6</v>
      </c>
      <c r="K24" s="4">
        <v>2</v>
      </c>
      <c r="L24" s="4">
        <v>4</v>
      </c>
      <c r="M24" s="4">
        <v>2</v>
      </c>
      <c r="N24" s="4">
        <v>3</v>
      </c>
      <c r="O24" s="5" t="s">
        <v>55</v>
      </c>
      <c r="P24" s="4" t="s">
        <v>20</v>
      </c>
      <c r="Q24" s="4" t="s">
        <v>20</v>
      </c>
      <c r="R24" s="4" t="s">
        <v>305</v>
      </c>
    </row>
    <row r="25" spans="1:18" ht="13.2" x14ac:dyDescent="0.25">
      <c r="A25" s="3">
        <v>44555.798277245369</v>
      </c>
      <c r="B25" s="4" t="s">
        <v>85</v>
      </c>
      <c r="C25" s="5" t="s">
        <v>26</v>
      </c>
      <c r="D25" s="4" t="s">
        <v>19</v>
      </c>
      <c r="E25" s="12">
        <v>2</v>
      </c>
      <c r="F25" s="4" t="s">
        <v>20</v>
      </c>
      <c r="G25" s="12">
        <v>7</v>
      </c>
      <c r="H25" s="12">
        <v>4</v>
      </c>
      <c r="I25" s="12">
        <v>6</v>
      </c>
      <c r="J25" s="12">
        <v>6</v>
      </c>
      <c r="K25" s="4">
        <v>2</v>
      </c>
      <c r="L25" s="4">
        <v>6</v>
      </c>
      <c r="M25" s="4">
        <v>2</v>
      </c>
      <c r="N25" s="4">
        <v>3</v>
      </c>
      <c r="O25" s="5" t="s">
        <v>28</v>
      </c>
      <c r="P25" s="4" t="s">
        <v>20</v>
      </c>
      <c r="Q25" s="4" t="s">
        <v>20</v>
      </c>
      <c r="R25" s="4" t="s">
        <v>33</v>
      </c>
    </row>
    <row r="26" spans="1:18" ht="13.2" x14ac:dyDescent="0.25">
      <c r="A26" s="3">
        <v>44556.360877060186</v>
      </c>
      <c r="B26" s="4" t="s">
        <v>115</v>
      </c>
      <c r="C26" s="5" t="s">
        <v>35</v>
      </c>
      <c r="D26" s="4" t="s">
        <v>19</v>
      </c>
      <c r="E26" s="12">
        <v>2</v>
      </c>
      <c r="F26" s="4" t="s">
        <v>20</v>
      </c>
      <c r="G26" s="12">
        <v>7</v>
      </c>
      <c r="H26" s="12">
        <v>5</v>
      </c>
      <c r="I26" s="12">
        <v>7</v>
      </c>
      <c r="J26" s="12">
        <v>7</v>
      </c>
      <c r="K26" s="4">
        <v>4</v>
      </c>
      <c r="L26" s="4">
        <v>4</v>
      </c>
      <c r="M26" s="4">
        <v>2</v>
      </c>
      <c r="N26" s="4">
        <v>3</v>
      </c>
      <c r="O26" s="5" t="s">
        <v>63</v>
      </c>
      <c r="P26" s="4" t="s">
        <v>20</v>
      </c>
      <c r="Q26" s="4" t="s">
        <v>20</v>
      </c>
      <c r="R26" s="4" t="s">
        <v>305</v>
      </c>
    </row>
    <row r="27" spans="1:18" ht="13.2" x14ac:dyDescent="0.25">
      <c r="A27" s="3">
        <v>44557.417168287036</v>
      </c>
      <c r="B27" s="4" t="s">
        <v>140</v>
      </c>
      <c r="C27" s="4" t="s">
        <v>51</v>
      </c>
      <c r="D27" s="4" t="s">
        <v>27</v>
      </c>
      <c r="E27" s="12">
        <v>2</v>
      </c>
      <c r="F27" s="4" t="s">
        <v>20</v>
      </c>
      <c r="G27" s="12">
        <v>10</v>
      </c>
      <c r="H27" s="12">
        <v>4</v>
      </c>
      <c r="I27" s="12">
        <v>6</v>
      </c>
      <c r="J27" s="12">
        <v>6</v>
      </c>
      <c r="K27" s="4">
        <v>2</v>
      </c>
      <c r="L27" s="4">
        <v>2</v>
      </c>
      <c r="M27" s="4">
        <v>3</v>
      </c>
      <c r="N27" s="4">
        <v>3</v>
      </c>
      <c r="O27" s="5" t="s">
        <v>124</v>
      </c>
      <c r="P27" s="4" t="s">
        <v>20</v>
      </c>
      <c r="Q27" s="4" t="s">
        <v>20</v>
      </c>
      <c r="R27" s="4" t="s">
        <v>33</v>
      </c>
    </row>
    <row r="28" spans="1:18" ht="13.2" x14ac:dyDescent="0.25">
      <c r="A28" s="3">
        <v>44557.508772337962</v>
      </c>
      <c r="B28" s="4" t="s">
        <v>157</v>
      </c>
      <c r="C28" s="4" t="s">
        <v>26</v>
      </c>
      <c r="D28" s="4" t="s">
        <v>19</v>
      </c>
      <c r="E28" s="12">
        <v>2</v>
      </c>
      <c r="F28" s="4" t="s">
        <v>20</v>
      </c>
      <c r="G28" s="12">
        <v>8</v>
      </c>
      <c r="H28" s="12">
        <v>6</v>
      </c>
      <c r="I28" s="12">
        <v>5</v>
      </c>
      <c r="J28" s="12">
        <v>5</v>
      </c>
      <c r="K28" s="4">
        <v>4</v>
      </c>
      <c r="L28" s="4">
        <v>4</v>
      </c>
      <c r="M28" s="4">
        <v>3</v>
      </c>
      <c r="N28" s="4">
        <v>3</v>
      </c>
      <c r="O28" s="5" t="s">
        <v>24</v>
      </c>
      <c r="P28" s="4" t="s">
        <v>20</v>
      </c>
      <c r="Q28" s="4" t="s">
        <v>20</v>
      </c>
      <c r="R28" s="4" t="s">
        <v>305</v>
      </c>
    </row>
    <row r="29" spans="1:18" ht="13.2" x14ac:dyDescent="0.25">
      <c r="A29" s="3">
        <v>44559.685807199072</v>
      </c>
      <c r="B29" s="4" t="s">
        <v>177</v>
      </c>
      <c r="C29" s="5" t="s">
        <v>178</v>
      </c>
      <c r="D29" s="4" t="s">
        <v>27</v>
      </c>
      <c r="E29" s="12">
        <v>2</v>
      </c>
      <c r="F29" s="4" t="s">
        <v>20</v>
      </c>
      <c r="G29" s="12">
        <v>5</v>
      </c>
      <c r="H29" s="12">
        <v>6</v>
      </c>
      <c r="I29" s="12">
        <v>5</v>
      </c>
      <c r="J29" s="12">
        <v>5</v>
      </c>
      <c r="K29" s="4">
        <v>2</v>
      </c>
      <c r="L29" s="4">
        <v>2</v>
      </c>
      <c r="M29" s="4">
        <v>4</v>
      </c>
      <c r="N29" s="4">
        <v>3</v>
      </c>
      <c r="O29" s="5" t="s">
        <v>55</v>
      </c>
      <c r="P29" s="4" t="s">
        <v>20</v>
      </c>
      <c r="Q29" s="4" t="s">
        <v>43</v>
      </c>
      <c r="R29" s="4" t="s">
        <v>305</v>
      </c>
    </row>
    <row r="30" spans="1:18" ht="13.2" x14ac:dyDescent="0.25">
      <c r="A30" s="3">
        <v>44568.368968634255</v>
      </c>
      <c r="B30" s="4" t="s">
        <v>192</v>
      </c>
      <c r="C30" s="4" t="s">
        <v>193</v>
      </c>
      <c r="D30" s="4" t="s">
        <v>27</v>
      </c>
      <c r="E30" s="12">
        <v>2</v>
      </c>
      <c r="F30" s="4" t="s">
        <v>20</v>
      </c>
      <c r="G30" s="12">
        <v>6</v>
      </c>
      <c r="H30" s="12">
        <v>6</v>
      </c>
      <c r="I30" s="12">
        <v>6</v>
      </c>
      <c r="J30" s="12">
        <v>6</v>
      </c>
      <c r="K30" s="4">
        <v>2</v>
      </c>
      <c r="L30" s="4">
        <v>2</v>
      </c>
      <c r="M30" s="4">
        <v>4</v>
      </c>
      <c r="N30" s="4">
        <v>3</v>
      </c>
      <c r="O30" s="5" t="s">
        <v>63</v>
      </c>
      <c r="P30" s="4" t="s">
        <v>20</v>
      </c>
      <c r="Q30" s="4" t="s">
        <v>20</v>
      </c>
      <c r="R30" s="4" t="s">
        <v>305</v>
      </c>
    </row>
    <row r="31" spans="1:18" ht="13.2" x14ac:dyDescent="0.25">
      <c r="A31" s="3">
        <v>44557.378139409717</v>
      </c>
      <c r="B31" s="4" t="s">
        <v>129</v>
      </c>
      <c r="C31" s="7" t="s">
        <v>130</v>
      </c>
      <c r="D31" s="4" t="s">
        <v>19</v>
      </c>
      <c r="E31" s="12">
        <v>2</v>
      </c>
      <c r="F31" s="4" t="s">
        <v>20</v>
      </c>
      <c r="G31" s="12">
        <v>4</v>
      </c>
      <c r="H31" s="12">
        <v>5</v>
      </c>
      <c r="I31" s="12">
        <v>6</v>
      </c>
      <c r="J31" s="12">
        <v>6</v>
      </c>
      <c r="K31" s="4">
        <v>4</v>
      </c>
      <c r="L31" s="4">
        <v>6</v>
      </c>
      <c r="M31" s="4">
        <v>4</v>
      </c>
      <c r="N31" s="4">
        <v>3</v>
      </c>
      <c r="O31" s="5" t="s">
        <v>106</v>
      </c>
      <c r="P31" s="4" t="s">
        <v>20</v>
      </c>
      <c r="Q31" s="4" t="s">
        <v>20</v>
      </c>
      <c r="R31" s="4" t="s">
        <v>305</v>
      </c>
    </row>
    <row r="32" spans="1:18" ht="13.2" x14ac:dyDescent="0.25">
      <c r="A32" s="3">
        <v>44557.373482361116</v>
      </c>
      <c r="B32" s="4" t="s">
        <v>127</v>
      </c>
      <c r="C32" s="5" t="s">
        <v>128</v>
      </c>
      <c r="D32" s="4" t="s">
        <v>27</v>
      </c>
      <c r="E32" s="12">
        <v>2</v>
      </c>
      <c r="F32" s="4" t="s">
        <v>20</v>
      </c>
      <c r="G32" s="12">
        <v>4</v>
      </c>
      <c r="H32" s="12">
        <v>4</v>
      </c>
      <c r="I32" s="12">
        <v>7</v>
      </c>
      <c r="J32" s="12">
        <v>7</v>
      </c>
      <c r="K32" s="4">
        <v>2</v>
      </c>
      <c r="L32" s="4">
        <v>2</v>
      </c>
      <c r="M32" s="4">
        <v>5</v>
      </c>
      <c r="N32" s="4">
        <v>3</v>
      </c>
      <c r="O32" s="5" t="s">
        <v>46</v>
      </c>
      <c r="P32" s="4" t="s">
        <v>20</v>
      </c>
      <c r="Q32" s="4" t="s">
        <v>43</v>
      </c>
      <c r="R32" s="4" t="s">
        <v>305</v>
      </c>
    </row>
    <row r="33" spans="1:18" ht="13.2" x14ac:dyDescent="0.25">
      <c r="A33" s="3">
        <v>44555.79282751157</v>
      </c>
      <c r="B33" s="4" t="s">
        <v>79</v>
      </c>
      <c r="C33" s="4" t="s">
        <v>26</v>
      </c>
      <c r="D33" s="4" t="s">
        <v>27</v>
      </c>
      <c r="E33" s="12">
        <v>2</v>
      </c>
      <c r="F33" s="4" t="s">
        <v>20</v>
      </c>
      <c r="G33" s="12">
        <v>5</v>
      </c>
      <c r="H33" s="12">
        <v>5</v>
      </c>
      <c r="I33" s="12">
        <v>5</v>
      </c>
      <c r="J33" s="12">
        <v>6</v>
      </c>
      <c r="K33" s="4">
        <v>4</v>
      </c>
      <c r="L33" s="4">
        <v>4</v>
      </c>
      <c r="M33" s="4">
        <v>5</v>
      </c>
      <c r="N33" s="4">
        <v>3</v>
      </c>
      <c r="O33" s="5" t="s">
        <v>80</v>
      </c>
      <c r="P33" s="4" t="s">
        <v>20</v>
      </c>
      <c r="Q33" s="4" t="s">
        <v>20</v>
      </c>
      <c r="R33" s="4" t="s">
        <v>305</v>
      </c>
    </row>
    <row r="34" spans="1:18" ht="13.2" x14ac:dyDescent="0.25">
      <c r="A34" s="3">
        <v>44555.786346759254</v>
      </c>
      <c r="B34" s="4" t="s">
        <v>71</v>
      </c>
      <c r="C34" s="5" t="s">
        <v>72</v>
      </c>
      <c r="D34" s="4" t="s">
        <v>19</v>
      </c>
      <c r="E34" s="12">
        <v>2</v>
      </c>
      <c r="F34" s="4" t="s">
        <v>20</v>
      </c>
      <c r="G34" s="12">
        <v>9</v>
      </c>
      <c r="H34" s="12">
        <v>8</v>
      </c>
      <c r="I34" s="12">
        <v>7</v>
      </c>
      <c r="J34" s="12">
        <v>5</v>
      </c>
      <c r="K34" s="4">
        <v>6</v>
      </c>
      <c r="L34" s="4">
        <v>4</v>
      </c>
      <c r="M34" s="4">
        <v>5</v>
      </c>
      <c r="N34" s="4">
        <v>3</v>
      </c>
      <c r="O34" s="5" t="s">
        <v>66</v>
      </c>
      <c r="P34" s="4" t="s">
        <v>20</v>
      </c>
      <c r="Q34" s="4" t="s">
        <v>20</v>
      </c>
      <c r="R34" s="4" t="s">
        <v>305</v>
      </c>
    </row>
    <row r="35" spans="1:18" ht="13.2" x14ac:dyDescent="0.25">
      <c r="A35" s="3">
        <v>44555.765741516203</v>
      </c>
      <c r="B35" s="4" t="s">
        <v>52</v>
      </c>
      <c r="C35" s="4" t="s">
        <v>53</v>
      </c>
      <c r="D35" s="4" t="s">
        <v>19</v>
      </c>
      <c r="E35" s="12">
        <v>2</v>
      </c>
      <c r="F35" s="4" t="s">
        <v>20</v>
      </c>
      <c r="G35" s="12">
        <v>8</v>
      </c>
      <c r="H35" s="12">
        <v>4</v>
      </c>
      <c r="I35" s="12">
        <v>7</v>
      </c>
      <c r="J35" s="12">
        <v>7</v>
      </c>
      <c r="K35" s="4">
        <v>2</v>
      </c>
      <c r="L35" s="4">
        <v>2</v>
      </c>
      <c r="M35" s="4">
        <v>1</v>
      </c>
      <c r="N35" s="4">
        <v>4</v>
      </c>
      <c r="O35" s="5" t="s">
        <v>28</v>
      </c>
      <c r="P35" s="4" t="s">
        <v>20</v>
      </c>
      <c r="Q35" s="4" t="s">
        <v>20</v>
      </c>
      <c r="R35" s="4" t="s">
        <v>33</v>
      </c>
    </row>
    <row r="36" spans="1:18" ht="13.2" x14ac:dyDescent="0.25">
      <c r="A36" s="3">
        <v>44555.82056832176</v>
      </c>
      <c r="B36" s="4" t="s">
        <v>96</v>
      </c>
      <c r="C36" s="5" t="s">
        <v>97</v>
      </c>
      <c r="D36" s="4" t="s">
        <v>19</v>
      </c>
      <c r="E36" s="12">
        <v>2</v>
      </c>
      <c r="F36" s="4" t="s">
        <v>20</v>
      </c>
      <c r="G36" s="12">
        <v>9</v>
      </c>
      <c r="H36" s="12">
        <v>9</v>
      </c>
      <c r="I36" s="12">
        <v>5</v>
      </c>
      <c r="J36" s="12">
        <v>5</v>
      </c>
      <c r="K36" s="4">
        <v>2</v>
      </c>
      <c r="L36" s="4">
        <v>2</v>
      </c>
      <c r="M36" s="4">
        <v>1</v>
      </c>
      <c r="N36" s="4">
        <v>4</v>
      </c>
      <c r="O36" s="5" t="s">
        <v>46</v>
      </c>
      <c r="P36" s="4" t="s">
        <v>20</v>
      </c>
      <c r="Q36" s="4" t="s">
        <v>20</v>
      </c>
      <c r="R36" s="4" t="s">
        <v>305</v>
      </c>
    </row>
    <row r="37" spans="1:18" ht="13.2" x14ac:dyDescent="0.25">
      <c r="A37" s="3">
        <v>44555.906582152777</v>
      </c>
      <c r="B37" s="4" t="s">
        <v>75</v>
      </c>
      <c r="C37" s="4" t="s">
        <v>109</v>
      </c>
      <c r="D37" s="4" t="s">
        <v>19</v>
      </c>
      <c r="E37" s="12">
        <v>2</v>
      </c>
      <c r="F37" s="4" t="s">
        <v>20</v>
      </c>
      <c r="G37" s="12">
        <v>9</v>
      </c>
      <c r="H37" s="12">
        <v>7</v>
      </c>
      <c r="I37" s="12">
        <v>7</v>
      </c>
      <c r="J37" s="12">
        <v>5</v>
      </c>
      <c r="K37" s="4">
        <v>2</v>
      </c>
      <c r="L37" s="4">
        <v>2</v>
      </c>
      <c r="M37" s="4">
        <v>1</v>
      </c>
      <c r="N37" s="4">
        <v>4</v>
      </c>
      <c r="O37" s="5" t="s">
        <v>46</v>
      </c>
      <c r="P37" s="4" t="s">
        <v>20</v>
      </c>
      <c r="Q37" s="4" t="s">
        <v>20</v>
      </c>
      <c r="R37" s="4" t="s">
        <v>305</v>
      </c>
    </row>
    <row r="38" spans="1:18" ht="13.2" x14ac:dyDescent="0.25">
      <c r="A38" s="3">
        <v>44565.404952210651</v>
      </c>
      <c r="B38" s="4" t="s">
        <v>184</v>
      </c>
      <c r="C38" s="4" t="s">
        <v>185</v>
      </c>
      <c r="D38" s="4" t="s">
        <v>27</v>
      </c>
      <c r="E38" s="12">
        <v>2</v>
      </c>
      <c r="F38" s="4" t="s">
        <v>20</v>
      </c>
      <c r="G38" s="12">
        <v>6</v>
      </c>
      <c r="H38" s="12">
        <v>5</v>
      </c>
      <c r="I38" s="12">
        <v>5</v>
      </c>
      <c r="J38" s="12">
        <v>5</v>
      </c>
      <c r="K38" s="4">
        <v>2</v>
      </c>
      <c r="L38" s="4">
        <v>2</v>
      </c>
      <c r="M38" s="4">
        <v>1</v>
      </c>
      <c r="N38" s="4">
        <v>4</v>
      </c>
      <c r="O38" s="5" t="s">
        <v>24</v>
      </c>
      <c r="P38" s="4" t="s">
        <v>20</v>
      </c>
      <c r="Q38" s="4" t="s">
        <v>20</v>
      </c>
      <c r="R38" s="4" t="s">
        <v>305</v>
      </c>
    </row>
    <row r="39" spans="1:18" ht="13.2" x14ac:dyDescent="0.25">
      <c r="A39" s="3">
        <v>44568.393038726848</v>
      </c>
      <c r="B39" s="4" t="s">
        <v>196</v>
      </c>
      <c r="C39" s="4" t="s">
        <v>159</v>
      </c>
      <c r="D39" s="4" t="s">
        <v>27</v>
      </c>
      <c r="E39" s="12">
        <v>3</v>
      </c>
      <c r="F39" s="4" t="s">
        <v>43</v>
      </c>
      <c r="G39" s="12">
        <v>4</v>
      </c>
      <c r="H39" s="12">
        <v>4</v>
      </c>
      <c r="I39" s="12">
        <v>5</v>
      </c>
      <c r="J39" s="12">
        <v>5</v>
      </c>
      <c r="K39" s="4">
        <v>2</v>
      </c>
      <c r="L39" s="4">
        <v>2</v>
      </c>
      <c r="M39" s="4">
        <v>1</v>
      </c>
      <c r="N39" s="4">
        <v>4</v>
      </c>
      <c r="O39" s="5" t="s">
        <v>66</v>
      </c>
      <c r="P39" s="4" t="s">
        <v>20</v>
      </c>
      <c r="Q39" s="4" t="s">
        <v>43</v>
      </c>
      <c r="R39" s="4" t="s">
        <v>33</v>
      </c>
    </row>
    <row r="40" spans="1:18" ht="13.2" x14ac:dyDescent="0.25">
      <c r="A40" s="3">
        <v>44555.835277256949</v>
      </c>
      <c r="B40" s="4" t="s">
        <v>99</v>
      </c>
      <c r="C40" s="5" t="s">
        <v>100</v>
      </c>
      <c r="D40" s="4" t="s">
        <v>27</v>
      </c>
      <c r="E40" s="12">
        <v>2</v>
      </c>
      <c r="F40" s="4" t="s">
        <v>20</v>
      </c>
      <c r="G40" s="12">
        <v>9</v>
      </c>
      <c r="H40" s="12">
        <v>6</v>
      </c>
      <c r="I40" s="12">
        <v>7</v>
      </c>
      <c r="J40" s="12">
        <v>7</v>
      </c>
      <c r="K40" s="4">
        <v>2</v>
      </c>
      <c r="L40" s="4">
        <v>4</v>
      </c>
      <c r="M40" s="4">
        <v>1</v>
      </c>
      <c r="N40" s="4">
        <v>4</v>
      </c>
      <c r="O40" s="5" t="s">
        <v>38</v>
      </c>
      <c r="P40" s="4" t="s">
        <v>20</v>
      </c>
      <c r="Q40" s="4" t="s">
        <v>20</v>
      </c>
      <c r="R40" s="4" t="s">
        <v>305</v>
      </c>
    </row>
    <row r="41" spans="1:18" ht="13.2" x14ac:dyDescent="0.25">
      <c r="A41" s="3">
        <v>44555.782095219911</v>
      </c>
      <c r="B41" s="4" t="s">
        <v>67</v>
      </c>
      <c r="C41" s="5" t="s">
        <v>68</v>
      </c>
      <c r="D41" s="4" t="s">
        <v>19</v>
      </c>
      <c r="E41" s="12">
        <v>3</v>
      </c>
      <c r="F41" s="4" t="s">
        <v>20</v>
      </c>
      <c r="G41" s="12">
        <v>5</v>
      </c>
      <c r="H41" s="12">
        <v>4</v>
      </c>
      <c r="I41" s="12">
        <v>7</v>
      </c>
      <c r="J41" s="12">
        <v>7</v>
      </c>
      <c r="K41" s="4">
        <v>2</v>
      </c>
      <c r="L41" s="4">
        <v>6</v>
      </c>
      <c r="M41" s="4">
        <v>1</v>
      </c>
      <c r="N41" s="4">
        <v>4</v>
      </c>
      <c r="O41" s="5" t="s">
        <v>46</v>
      </c>
      <c r="P41" s="4" t="s">
        <v>20</v>
      </c>
      <c r="Q41" s="4" t="s">
        <v>20</v>
      </c>
      <c r="R41" s="4" t="s">
        <v>305</v>
      </c>
    </row>
    <row r="42" spans="1:18" ht="13.2" x14ac:dyDescent="0.25">
      <c r="A42" s="3">
        <v>44555.762136041667</v>
      </c>
      <c r="B42" s="4" t="s">
        <v>48</v>
      </c>
      <c r="C42" s="5" t="s">
        <v>49</v>
      </c>
      <c r="D42" s="4" t="s">
        <v>19</v>
      </c>
      <c r="E42" s="12">
        <v>2</v>
      </c>
      <c r="F42" s="4" t="s">
        <v>20</v>
      </c>
      <c r="G42" s="12">
        <v>6</v>
      </c>
      <c r="H42" s="12">
        <v>5</v>
      </c>
      <c r="I42" s="12">
        <v>6</v>
      </c>
      <c r="J42" s="12">
        <v>5</v>
      </c>
      <c r="K42" s="4">
        <v>4</v>
      </c>
      <c r="L42" s="4">
        <v>2</v>
      </c>
      <c r="M42" s="4">
        <v>1</v>
      </c>
      <c r="N42" s="4">
        <v>4</v>
      </c>
      <c r="O42" s="5" t="s">
        <v>28</v>
      </c>
      <c r="P42" s="4" t="s">
        <v>20</v>
      </c>
      <c r="Q42" s="4" t="s">
        <v>20</v>
      </c>
      <c r="R42" s="4" t="s">
        <v>33</v>
      </c>
    </row>
    <row r="43" spans="1:18" ht="13.2" x14ac:dyDescent="0.25">
      <c r="A43" s="3">
        <v>44557.400752465277</v>
      </c>
      <c r="B43" s="4" t="s">
        <v>137</v>
      </c>
      <c r="C43" s="7" t="s">
        <v>138</v>
      </c>
      <c r="D43" s="4" t="s">
        <v>27</v>
      </c>
      <c r="E43" s="12">
        <v>2</v>
      </c>
      <c r="F43" s="4" t="s">
        <v>20</v>
      </c>
      <c r="G43" s="12">
        <v>8</v>
      </c>
      <c r="H43" s="12">
        <v>5</v>
      </c>
      <c r="I43" s="12">
        <v>7</v>
      </c>
      <c r="J43" s="12">
        <v>5</v>
      </c>
      <c r="K43" s="4">
        <v>4</v>
      </c>
      <c r="L43" s="4">
        <v>2</v>
      </c>
      <c r="M43" s="4">
        <v>1</v>
      </c>
      <c r="N43" s="4">
        <v>4</v>
      </c>
      <c r="O43" s="5" t="s">
        <v>66</v>
      </c>
      <c r="P43" s="4" t="s">
        <v>20</v>
      </c>
      <c r="Q43" s="4" t="s">
        <v>20</v>
      </c>
      <c r="R43" s="4" t="s">
        <v>33</v>
      </c>
    </row>
    <row r="44" spans="1:18" ht="13.2" x14ac:dyDescent="0.25">
      <c r="A44" s="3">
        <v>44568.55502428241</v>
      </c>
      <c r="B44" s="4" t="s">
        <v>199</v>
      </c>
      <c r="C44" s="5">
        <v>12</v>
      </c>
      <c r="D44" s="4" t="s">
        <v>19</v>
      </c>
      <c r="E44" s="12">
        <v>2</v>
      </c>
      <c r="F44" s="4" t="s">
        <v>20</v>
      </c>
      <c r="G44" s="12">
        <v>6</v>
      </c>
      <c r="H44" s="12">
        <v>5</v>
      </c>
      <c r="I44" s="12">
        <v>5</v>
      </c>
      <c r="J44" s="12">
        <v>6</v>
      </c>
      <c r="K44" s="4">
        <v>4</v>
      </c>
      <c r="L44" s="4">
        <v>2</v>
      </c>
      <c r="M44" s="4">
        <v>1</v>
      </c>
      <c r="N44" s="4">
        <v>4</v>
      </c>
      <c r="O44" s="5" t="s">
        <v>28</v>
      </c>
      <c r="P44" s="4" t="s">
        <v>20</v>
      </c>
      <c r="Q44" s="4" t="s">
        <v>20</v>
      </c>
      <c r="R44" s="4" t="s">
        <v>305</v>
      </c>
    </row>
    <row r="45" spans="1:18" ht="13.2" x14ac:dyDescent="0.25">
      <c r="A45" s="3">
        <v>44555.977524178241</v>
      </c>
      <c r="B45" s="4" t="s">
        <v>113</v>
      </c>
      <c r="C45" s="5" t="s">
        <v>114</v>
      </c>
      <c r="D45" s="4" t="s">
        <v>27</v>
      </c>
      <c r="E45" s="12">
        <v>3</v>
      </c>
      <c r="F45" s="4" t="s">
        <v>20</v>
      </c>
      <c r="G45" s="12">
        <v>10</v>
      </c>
      <c r="H45" s="12">
        <v>9</v>
      </c>
      <c r="I45" s="12">
        <v>5</v>
      </c>
      <c r="J45" s="12">
        <v>6</v>
      </c>
      <c r="K45" s="4">
        <v>4</v>
      </c>
      <c r="L45" s="4">
        <v>4</v>
      </c>
      <c r="M45" s="4">
        <v>1</v>
      </c>
      <c r="N45" s="4">
        <v>4</v>
      </c>
      <c r="O45" s="5" t="s">
        <v>24</v>
      </c>
      <c r="P45" s="4" t="s">
        <v>20</v>
      </c>
      <c r="Q45" s="4" t="s">
        <v>43</v>
      </c>
      <c r="R45" s="4" t="s">
        <v>305</v>
      </c>
    </row>
    <row r="46" spans="1:18" ht="13.2" x14ac:dyDescent="0.25">
      <c r="A46" s="3">
        <v>44557.464201736111</v>
      </c>
      <c r="B46" s="4" t="s">
        <v>152</v>
      </c>
      <c r="C46" s="5" t="s">
        <v>97</v>
      </c>
      <c r="D46" s="4" t="s">
        <v>27</v>
      </c>
      <c r="E46" s="12">
        <v>2</v>
      </c>
      <c r="F46" s="4" t="s">
        <v>20</v>
      </c>
      <c r="G46" s="12">
        <v>7</v>
      </c>
      <c r="H46" s="12">
        <v>5</v>
      </c>
      <c r="I46" s="12">
        <v>5</v>
      </c>
      <c r="J46" s="12">
        <v>6</v>
      </c>
      <c r="K46" s="4">
        <v>4</v>
      </c>
      <c r="L46" s="4">
        <v>6</v>
      </c>
      <c r="M46" s="4">
        <v>1</v>
      </c>
      <c r="N46" s="4">
        <v>4</v>
      </c>
      <c r="O46" s="5" t="s">
        <v>60</v>
      </c>
      <c r="P46" s="4" t="s">
        <v>20</v>
      </c>
      <c r="Q46" s="4" t="s">
        <v>43</v>
      </c>
      <c r="R46" s="4" t="s">
        <v>305</v>
      </c>
    </row>
    <row r="47" spans="1:18" ht="13.2" x14ac:dyDescent="0.25">
      <c r="A47" s="3">
        <v>44565.39836126157</v>
      </c>
      <c r="B47" s="4" t="s">
        <v>182</v>
      </c>
      <c r="C47" s="5" t="s">
        <v>183</v>
      </c>
      <c r="D47" s="4" t="s">
        <v>27</v>
      </c>
      <c r="E47" s="12">
        <v>3</v>
      </c>
      <c r="F47" s="4" t="s">
        <v>20</v>
      </c>
      <c r="G47" s="12">
        <v>6</v>
      </c>
      <c r="H47" s="12">
        <v>5</v>
      </c>
      <c r="I47" s="12">
        <v>6</v>
      </c>
      <c r="J47" s="12">
        <v>6</v>
      </c>
      <c r="K47" s="4">
        <v>6</v>
      </c>
      <c r="L47" s="4">
        <v>6</v>
      </c>
      <c r="M47" s="4">
        <v>1</v>
      </c>
      <c r="N47" s="4">
        <v>4</v>
      </c>
      <c r="O47" s="5" t="s">
        <v>55</v>
      </c>
      <c r="P47" s="4" t="s">
        <v>20</v>
      </c>
      <c r="Q47" s="4" t="s">
        <v>20</v>
      </c>
      <c r="R47" s="4" t="s">
        <v>305</v>
      </c>
    </row>
    <row r="48" spans="1:18" ht="13.2" x14ac:dyDescent="0.25">
      <c r="A48" s="3">
        <v>44555.753540763893</v>
      </c>
      <c r="B48" s="4" t="s">
        <v>36</v>
      </c>
      <c r="C48" s="5" t="s">
        <v>37</v>
      </c>
      <c r="D48" s="4" t="s">
        <v>19</v>
      </c>
      <c r="E48" s="12">
        <v>2</v>
      </c>
      <c r="F48" s="4" t="s">
        <v>20</v>
      </c>
      <c r="G48" s="12">
        <v>6</v>
      </c>
      <c r="H48" s="12">
        <v>4</v>
      </c>
      <c r="I48" s="12">
        <v>6</v>
      </c>
      <c r="J48" s="12">
        <v>5</v>
      </c>
      <c r="K48" s="4">
        <v>2</v>
      </c>
      <c r="L48" s="4">
        <v>2</v>
      </c>
      <c r="M48" s="4">
        <v>2</v>
      </c>
      <c r="N48" s="4">
        <v>4</v>
      </c>
      <c r="O48" s="5" t="s">
        <v>38</v>
      </c>
      <c r="P48" s="4" t="s">
        <v>20</v>
      </c>
      <c r="Q48" s="4" t="s">
        <v>20</v>
      </c>
      <c r="R48" s="4" t="s">
        <v>305</v>
      </c>
    </row>
    <row r="49" spans="1:18" ht="13.2" x14ac:dyDescent="0.25">
      <c r="A49" s="3">
        <v>44557.384436006949</v>
      </c>
      <c r="B49" s="4" t="s">
        <v>132</v>
      </c>
      <c r="C49" s="4" t="s">
        <v>133</v>
      </c>
      <c r="D49" s="4" t="s">
        <v>27</v>
      </c>
      <c r="E49" s="12">
        <v>2</v>
      </c>
      <c r="F49" s="4" t="s">
        <v>20</v>
      </c>
      <c r="G49" s="12">
        <v>6</v>
      </c>
      <c r="H49" s="12">
        <v>5</v>
      </c>
      <c r="I49" s="12">
        <v>5</v>
      </c>
      <c r="J49" s="12">
        <v>5</v>
      </c>
      <c r="K49" s="4">
        <v>2</v>
      </c>
      <c r="L49" s="4">
        <v>2</v>
      </c>
      <c r="M49" s="4">
        <v>2</v>
      </c>
      <c r="N49" s="4">
        <v>4</v>
      </c>
      <c r="O49" s="5" t="s">
        <v>124</v>
      </c>
      <c r="P49" s="4" t="s">
        <v>20</v>
      </c>
      <c r="Q49" s="4" t="s">
        <v>20</v>
      </c>
      <c r="R49" s="4" t="s">
        <v>305</v>
      </c>
    </row>
    <row r="50" spans="1:18" ht="13.2" x14ac:dyDescent="0.25">
      <c r="A50" s="3">
        <v>44557.457514490743</v>
      </c>
      <c r="B50" s="4" t="s">
        <v>149</v>
      </c>
      <c r="C50" s="4" t="s">
        <v>144</v>
      </c>
      <c r="D50" s="4" t="s">
        <v>27</v>
      </c>
      <c r="E50" s="12">
        <v>2</v>
      </c>
      <c r="F50" s="4" t="s">
        <v>43</v>
      </c>
      <c r="G50" s="12">
        <v>6</v>
      </c>
      <c r="H50" s="12">
        <v>5</v>
      </c>
      <c r="I50" s="12">
        <v>6</v>
      </c>
      <c r="J50" s="12">
        <v>5</v>
      </c>
      <c r="K50" s="4">
        <v>2</v>
      </c>
      <c r="L50" s="4">
        <v>2</v>
      </c>
      <c r="M50" s="4">
        <v>2</v>
      </c>
      <c r="N50" s="4">
        <v>4</v>
      </c>
      <c r="O50" s="5" t="s">
        <v>106</v>
      </c>
      <c r="P50" s="4" t="s">
        <v>20</v>
      </c>
      <c r="Q50" s="4" t="s">
        <v>20</v>
      </c>
      <c r="R50" s="4" t="s">
        <v>305</v>
      </c>
    </row>
    <row r="51" spans="1:18" ht="13.2" x14ac:dyDescent="0.25">
      <c r="A51" s="3">
        <v>44555.890020081017</v>
      </c>
      <c r="B51" s="4" t="s">
        <v>105</v>
      </c>
      <c r="C51" s="4" t="s">
        <v>35</v>
      </c>
      <c r="D51" s="4" t="s">
        <v>27</v>
      </c>
      <c r="E51" s="12">
        <v>2</v>
      </c>
      <c r="F51" s="4" t="s">
        <v>20</v>
      </c>
      <c r="G51" s="12">
        <v>7</v>
      </c>
      <c r="H51" s="12">
        <v>6</v>
      </c>
      <c r="I51" s="12">
        <v>7</v>
      </c>
      <c r="J51" s="12">
        <v>7</v>
      </c>
      <c r="K51" s="4">
        <v>4</v>
      </c>
      <c r="L51" s="4">
        <v>2</v>
      </c>
      <c r="M51" s="4">
        <v>2</v>
      </c>
      <c r="N51" s="4">
        <v>4</v>
      </c>
      <c r="O51" s="5" t="s">
        <v>106</v>
      </c>
      <c r="P51" s="4" t="s">
        <v>20</v>
      </c>
      <c r="Q51" s="4" t="s">
        <v>20</v>
      </c>
      <c r="R51" s="4" t="s">
        <v>305</v>
      </c>
    </row>
    <row r="52" spans="1:18" ht="13.2" x14ac:dyDescent="0.25">
      <c r="A52" s="3">
        <v>44556.679169641204</v>
      </c>
      <c r="B52" s="4" t="s">
        <v>121</v>
      </c>
      <c r="C52" s="4" t="s">
        <v>122</v>
      </c>
      <c r="D52" s="4" t="s">
        <v>27</v>
      </c>
      <c r="E52" s="12">
        <v>2</v>
      </c>
      <c r="F52" s="4" t="s">
        <v>20</v>
      </c>
      <c r="G52" s="12">
        <v>5</v>
      </c>
      <c r="H52" s="12">
        <v>4</v>
      </c>
      <c r="I52" s="12">
        <v>7</v>
      </c>
      <c r="J52" s="12">
        <v>5</v>
      </c>
      <c r="K52" s="4">
        <v>4</v>
      </c>
      <c r="L52" s="4">
        <v>2</v>
      </c>
      <c r="M52" s="4">
        <v>2</v>
      </c>
      <c r="N52" s="4">
        <v>4</v>
      </c>
      <c r="O52" s="5" t="s">
        <v>60</v>
      </c>
      <c r="P52" s="4" t="s">
        <v>20</v>
      </c>
      <c r="Q52" s="4" t="s">
        <v>43</v>
      </c>
      <c r="R52" s="4" t="s">
        <v>305</v>
      </c>
    </row>
    <row r="53" spans="1:18" ht="13.2" x14ac:dyDescent="0.25">
      <c r="A53" s="3">
        <v>44555.839052592593</v>
      </c>
      <c r="B53" s="4" t="s">
        <v>101</v>
      </c>
      <c r="C53" s="4" t="s">
        <v>82</v>
      </c>
      <c r="D53" s="4" t="s">
        <v>19</v>
      </c>
      <c r="E53" s="12">
        <v>2</v>
      </c>
      <c r="F53" s="4" t="s">
        <v>20</v>
      </c>
      <c r="G53" s="12">
        <v>7</v>
      </c>
      <c r="H53" s="12">
        <v>6</v>
      </c>
      <c r="I53" s="12">
        <v>7</v>
      </c>
      <c r="J53" s="12">
        <v>5</v>
      </c>
      <c r="K53" s="4">
        <v>4</v>
      </c>
      <c r="L53" s="4">
        <v>6</v>
      </c>
      <c r="M53" s="4">
        <v>2</v>
      </c>
      <c r="N53" s="4">
        <v>4</v>
      </c>
      <c r="O53" s="5" t="s">
        <v>60</v>
      </c>
      <c r="P53" s="4" t="s">
        <v>20</v>
      </c>
      <c r="Q53" s="4" t="s">
        <v>20</v>
      </c>
      <c r="R53" s="4" t="s">
        <v>305</v>
      </c>
    </row>
    <row r="54" spans="1:18" ht="13.2" x14ac:dyDescent="0.25">
      <c r="A54" s="3">
        <v>44555.777756875003</v>
      </c>
      <c r="B54" s="4" t="s">
        <v>61</v>
      </c>
      <c r="C54" s="4" t="s">
        <v>62</v>
      </c>
      <c r="D54" s="4" t="s">
        <v>19</v>
      </c>
      <c r="E54" s="12">
        <v>2</v>
      </c>
      <c r="F54" s="4" t="s">
        <v>20</v>
      </c>
      <c r="G54" s="12">
        <v>5</v>
      </c>
      <c r="H54" s="12">
        <v>4</v>
      </c>
      <c r="I54" s="12">
        <v>6</v>
      </c>
      <c r="J54" s="12">
        <v>7</v>
      </c>
      <c r="K54" s="4">
        <v>6</v>
      </c>
      <c r="L54" s="4">
        <v>4</v>
      </c>
      <c r="M54" s="4">
        <v>2</v>
      </c>
      <c r="N54" s="4">
        <v>4</v>
      </c>
      <c r="O54" s="5" t="s">
        <v>63</v>
      </c>
      <c r="P54" s="4" t="s">
        <v>20</v>
      </c>
      <c r="Q54" s="4" t="s">
        <v>20</v>
      </c>
      <c r="R54" s="4" t="s">
        <v>305</v>
      </c>
    </row>
    <row r="55" spans="1:18" ht="13.2" x14ac:dyDescent="0.25">
      <c r="A55" s="3">
        <v>44555.795814108795</v>
      </c>
      <c r="B55" s="4" t="s">
        <v>83</v>
      </c>
      <c r="C55" s="4" t="s">
        <v>84</v>
      </c>
      <c r="D55" s="4" t="s">
        <v>19</v>
      </c>
      <c r="E55" s="12">
        <v>2</v>
      </c>
      <c r="F55" s="4" t="s">
        <v>20</v>
      </c>
      <c r="G55" s="12">
        <v>6</v>
      </c>
      <c r="H55" s="12">
        <v>10</v>
      </c>
      <c r="I55" s="12">
        <v>7</v>
      </c>
      <c r="J55" s="12">
        <v>5</v>
      </c>
      <c r="K55" s="4">
        <v>6</v>
      </c>
      <c r="L55" s="4">
        <v>4</v>
      </c>
      <c r="M55" s="4">
        <v>2</v>
      </c>
      <c r="N55" s="4">
        <v>4</v>
      </c>
      <c r="O55" s="5" t="s">
        <v>46</v>
      </c>
      <c r="P55" s="4" t="s">
        <v>20</v>
      </c>
      <c r="Q55" s="4" t="s">
        <v>20</v>
      </c>
      <c r="R55" s="4" t="s">
        <v>305</v>
      </c>
    </row>
    <row r="56" spans="1:18" ht="13.2" x14ac:dyDescent="0.25">
      <c r="A56" s="3">
        <v>44555.787795601849</v>
      </c>
      <c r="B56" s="4" t="s">
        <v>75</v>
      </c>
      <c r="C56" s="6" t="s">
        <v>76</v>
      </c>
      <c r="D56" s="4" t="s">
        <v>19</v>
      </c>
      <c r="E56" s="12">
        <v>3</v>
      </c>
      <c r="F56" s="4" t="s">
        <v>20</v>
      </c>
      <c r="G56" s="12">
        <v>8</v>
      </c>
      <c r="H56" s="12">
        <v>7</v>
      </c>
      <c r="I56" s="12">
        <v>5</v>
      </c>
      <c r="J56" s="12">
        <v>6</v>
      </c>
      <c r="K56" s="4">
        <v>2</v>
      </c>
      <c r="L56" s="4">
        <v>2</v>
      </c>
      <c r="M56" s="4">
        <v>3</v>
      </c>
      <c r="N56" s="4">
        <v>4</v>
      </c>
      <c r="O56" s="5" t="s">
        <v>28</v>
      </c>
      <c r="P56" s="4" t="s">
        <v>20</v>
      </c>
      <c r="Q56" s="4" t="s">
        <v>20</v>
      </c>
      <c r="R56" s="4" t="s">
        <v>305</v>
      </c>
    </row>
    <row r="57" spans="1:18" ht="13.2" x14ac:dyDescent="0.25">
      <c r="A57" s="3">
        <v>44555.813586145829</v>
      </c>
      <c r="B57" s="5" t="s">
        <v>92</v>
      </c>
      <c r="C57" s="6" t="s">
        <v>93</v>
      </c>
      <c r="D57" s="5" t="s">
        <v>27</v>
      </c>
      <c r="E57" s="12">
        <v>3</v>
      </c>
      <c r="F57" s="5" t="s">
        <v>20</v>
      </c>
      <c r="G57" s="12">
        <v>5</v>
      </c>
      <c r="H57" s="12">
        <v>6</v>
      </c>
      <c r="I57" s="12">
        <v>5</v>
      </c>
      <c r="J57" s="12">
        <v>6</v>
      </c>
      <c r="K57" s="5">
        <v>2</v>
      </c>
      <c r="L57" s="5">
        <v>2</v>
      </c>
      <c r="M57" s="5">
        <v>3</v>
      </c>
      <c r="N57" s="5">
        <v>4</v>
      </c>
      <c r="O57" s="5" t="s">
        <v>55</v>
      </c>
      <c r="P57" s="5" t="s">
        <v>20</v>
      </c>
      <c r="Q57" s="5" t="s">
        <v>43</v>
      </c>
      <c r="R57" s="5" t="s">
        <v>33</v>
      </c>
    </row>
    <row r="58" spans="1:18" ht="13.2" x14ac:dyDescent="0.25">
      <c r="A58" s="3">
        <v>44557.44092868056</v>
      </c>
      <c r="B58" s="4" t="s">
        <v>143</v>
      </c>
      <c r="C58" s="5" t="s">
        <v>144</v>
      </c>
      <c r="D58" s="4" t="s">
        <v>19</v>
      </c>
      <c r="E58" s="12">
        <v>2</v>
      </c>
      <c r="F58" s="4" t="s">
        <v>20</v>
      </c>
      <c r="G58" s="12">
        <v>8</v>
      </c>
      <c r="H58" s="12">
        <v>6</v>
      </c>
      <c r="I58" s="12">
        <v>6</v>
      </c>
      <c r="J58" s="12">
        <v>7</v>
      </c>
      <c r="K58" s="4">
        <v>2</v>
      </c>
      <c r="L58" s="4">
        <v>2</v>
      </c>
      <c r="M58" s="4">
        <v>3</v>
      </c>
      <c r="N58" s="4">
        <v>4</v>
      </c>
      <c r="O58" s="5" t="s">
        <v>24</v>
      </c>
      <c r="P58" s="4" t="s">
        <v>20</v>
      </c>
      <c r="Q58" s="4" t="s">
        <v>20</v>
      </c>
      <c r="R58" s="4" t="s">
        <v>305</v>
      </c>
    </row>
    <row r="59" spans="1:18" ht="13.2" x14ac:dyDescent="0.25">
      <c r="A59" s="3">
        <v>44557.444377916661</v>
      </c>
      <c r="B59" s="4" t="s">
        <v>145</v>
      </c>
      <c r="C59" s="4" t="s">
        <v>26</v>
      </c>
      <c r="D59" s="4" t="s">
        <v>27</v>
      </c>
      <c r="E59" s="12">
        <v>3</v>
      </c>
      <c r="F59" s="4" t="s">
        <v>20</v>
      </c>
      <c r="G59" s="12">
        <v>7</v>
      </c>
      <c r="H59" s="12">
        <v>7</v>
      </c>
      <c r="I59" s="12">
        <v>6</v>
      </c>
      <c r="J59" s="12">
        <v>6</v>
      </c>
      <c r="K59" s="4">
        <v>2</v>
      </c>
      <c r="L59" s="4">
        <v>4</v>
      </c>
      <c r="M59" s="4">
        <v>3</v>
      </c>
      <c r="N59" s="4">
        <v>4</v>
      </c>
      <c r="O59" s="5" t="s">
        <v>24</v>
      </c>
      <c r="P59" s="4" t="s">
        <v>20</v>
      </c>
      <c r="Q59" s="4" t="s">
        <v>20</v>
      </c>
      <c r="R59" s="4" t="s">
        <v>33</v>
      </c>
    </row>
    <row r="60" spans="1:18" ht="13.2" x14ac:dyDescent="0.25">
      <c r="A60" s="3">
        <v>44557.682482719909</v>
      </c>
      <c r="B60" s="4" t="s">
        <v>161</v>
      </c>
      <c r="C60" s="4" t="s">
        <v>162</v>
      </c>
      <c r="D60" s="4" t="s">
        <v>27</v>
      </c>
      <c r="E60" s="12">
        <v>2</v>
      </c>
      <c r="F60" s="4" t="s">
        <v>20</v>
      </c>
      <c r="G60" s="12">
        <v>7</v>
      </c>
      <c r="H60" s="12">
        <v>5</v>
      </c>
      <c r="I60" s="12">
        <v>6</v>
      </c>
      <c r="J60" s="12">
        <v>6</v>
      </c>
      <c r="K60" s="4">
        <v>2</v>
      </c>
      <c r="L60" s="4">
        <v>4</v>
      </c>
      <c r="M60" s="4">
        <v>3</v>
      </c>
      <c r="N60" s="4">
        <v>4</v>
      </c>
      <c r="O60" s="5" t="s">
        <v>66</v>
      </c>
      <c r="P60" s="4" t="s">
        <v>20</v>
      </c>
      <c r="Q60" s="4" t="s">
        <v>20</v>
      </c>
      <c r="R60" s="4" t="s">
        <v>305</v>
      </c>
    </row>
    <row r="61" spans="1:18" ht="13.2" x14ac:dyDescent="0.25">
      <c r="A61" s="3">
        <v>44555.76169190972</v>
      </c>
      <c r="B61" s="4" t="s">
        <v>44</v>
      </c>
      <c r="C61" s="5" t="s">
        <v>45</v>
      </c>
      <c r="D61" s="4" t="s">
        <v>27</v>
      </c>
      <c r="E61" s="12">
        <v>2</v>
      </c>
      <c r="F61" s="4" t="s">
        <v>20</v>
      </c>
      <c r="G61" s="12">
        <v>11</v>
      </c>
      <c r="H61" s="12">
        <v>9</v>
      </c>
      <c r="I61" s="12">
        <v>7</v>
      </c>
      <c r="J61" s="12">
        <v>5</v>
      </c>
      <c r="K61" s="4">
        <v>4</v>
      </c>
      <c r="L61" s="4">
        <v>2</v>
      </c>
      <c r="M61" s="4">
        <v>3</v>
      </c>
      <c r="N61" s="4">
        <v>4</v>
      </c>
      <c r="O61" s="5" t="s">
        <v>46</v>
      </c>
      <c r="P61" s="4" t="s">
        <v>20</v>
      </c>
      <c r="Q61" s="4" t="s">
        <v>20</v>
      </c>
      <c r="R61" s="4" t="s">
        <v>33</v>
      </c>
    </row>
    <row r="62" spans="1:18" ht="13.2" x14ac:dyDescent="0.25">
      <c r="A62" s="3">
        <v>44555.76194887732</v>
      </c>
      <c r="B62" s="4" t="s">
        <v>47</v>
      </c>
      <c r="C62" s="5" t="s">
        <v>26</v>
      </c>
      <c r="D62" s="4" t="s">
        <v>19</v>
      </c>
      <c r="E62" s="12">
        <v>2</v>
      </c>
      <c r="F62" s="4" t="s">
        <v>20</v>
      </c>
      <c r="G62" s="12">
        <v>6</v>
      </c>
      <c r="H62" s="12">
        <v>6</v>
      </c>
      <c r="I62" s="12">
        <v>6</v>
      </c>
      <c r="J62" s="12">
        <v>7</v>
      </c>
      <c r="K62" s="4">
        <v>4</v>
      </c>
      <c r="L62" s="4">
        <v>4</v>
      </c>
      <c r="M62" s="4">
        <v>3</v>
      </c>
      <c r="N62" s="4">
        <v>4</v>
      </c>
      <c r="O62" s="5" t="s">
        <v>24</v>
      </c>
      <c r="P62" s="4" t="s">
        <v>43</v>
      </c>
      <c r="Q62" s="4" t="s">
        <v>20</v>
      </c>
      <c r="R62" s="4" t="s">
        <v>305</v>
      </c>
    </row>
    <row r="63" spans="1:18" ht="13.2" x14ac:dyDescent="0.25">
      <c r="A63" s="3">
        <v>44557.735411712958</v>
      </c>
      <c r="B63" s="4" t="s">
        <v>167</v>
      </c>
      <c r="C63" s="4" t="s">
        <v>168</v>
      </c>
      <c r="D63" s="4" t="s">
        <v>27</v>
      </c>
      <c r="E63" s="12">
        <v>3</v>
      </c>
      <c r="F63" s="4" t="s">
        <v>20</v>
      </c>
      <c r="G63" s="12">
        <v>7</v>
      </c>
      <c r="H63" s="12">
        <v>5</v>
      </c>
      <c r="I63" s="12">
        <v>7</v>
      </c>
      <c r="J63" s="12">
        <v>5</v>
      </c>
      <c r="K63" s="4">
        <v>6</v>
      </c>
      <c r="L63" s="4">
        <v>2</v>
      </c>
      <c r="M63" s="4">
        <v>3</v>
      </c>
      <c r="N63" s="4">
        <v>4</v>
      </c>
      <c r="O63" s="5" t="s">
        <v>46</v>
      </c>
      <c r="P63" s="4" t="s">
        <v>43</v>
      </c>
      <c r="Q63" s="4" t="s">
        <v>20</v>
      </c>
      <c r="R63" s="4" t="s">
        <v>305</v>
      </c>
    </row>
    <row r="64" spans="1:18" ht="13.2" x14ac:dyDescent="0.25">
      <c r="A64" s="3">
        <v>44555.929187870366</v>
      </c>
      <c r="B64" s="4" t="s">
        <v>111</v>
      </c>
      <c r="C64" s="4" t="s">
        <v>112</v>
      </c>
      <c r="D64" s="4" t="s">
        <v>19</v>
      </c>
      <c r="E64" s="12">
        <v>2</v>
      </c>
      <c r="F64" s="4" t="s">
        <v>20</v>
      </c>
      <c r="G64" s="12">
        <v>5</v>
      </c>
      <c r="H64" s="12">
        <v>4</v>
      </c>
      <c r="I64" s="12">
        <v>5</v>
      </c>
      <c r="J64" s="12">
        <v>6</v>
      </c>
      <c r="K64" s="4">
        <v>6</v>
      </c>
      <c r="L64" s="4">
        <v>4</v>
      </c>
      <c r="M64" s="4">
        <v>3</v>
      </c>
      <c r="N64" s="4">
        <v>4</v>
      </c>
      <c r="O64" s="5" t="s">
        <v>55</v>
      </c>
      <c r="P64" s="4" t="s">
        <v>20</v>
      </c>
      <c r="Q64" s="4" t="s">
        <v>20</v>
      </c>
      <c r="R64" s="4" t="s">
        <v>305</v>
      </c>
    </row>
    <row r="65" spans="1:18" ht="13.2" x14ac:dyDescent="0.25">
      <c r="A65" s="3">
        <v>44557.389667013893</v>
      </c>
      <c r="B65" s="4" t="s">
        <v>134</v>
      </c>
      <c r="C65" s="4" t="s">
        <v>135</v>
      </c>
      <c r="D65" s="4" t="s">
        <v>27</v>
      </c>
      <c r="E65" s="12">
        <v>3</v>
      </c>
      <c r="F65" s="4" t="s">
        <v>20</v>
      </c>
      <c r="G65" s="12">
        <v>5</v>
      </c>
      <c r="H65" s="12">
        <v>4</v>
      </c>
      <c r="I65" s="12">
        <v>7</v>
      </c>
      <c r="J65" s="12">
        <v>6</v>
      </c>
      <c r="K65" s="4">
        <v>8</v>
      </c>
      <c r="L65" s="4">
        <v>6</v>
      </c>
      <c r="M65" s="4">
        <v>3</v>
      </c>
      <c r="N65" s="4">
        <v>4</v>
      </c>
      <c r="O65" s="5" t="s">
        <v>24</v>
      </c>
      <c r="P65" s="4" t="s">
        <v>20</v>
      </c>
      <c r="Q65" s="4" t="s">
        <v>20</v>
      </c>
      <c r="R65" s="4" t="s">
        <v>305</v>
      </c>
    </row>
    <row r="66" spans="1:18" ht="13.2" x14ac:dyDescent="0.25">
      <c r="A66" s="3">
        <v>44555.802121273147</v>
      </c>
      <c r="B66" s="4" t="s">
        <v>88</v>
      </c>
      <c r="C66" s="4" t="s">
        <v>89</v>
      </c>
      <c r="D66" s="4" t="s">
        <v>27</v>
      </c>
      <c r="E66" s="12">
        <v>1</v>
      </c>
      <c r="F66" s="4" t="s">
        <v>20</v>
      </c>
      <c r="G66" s="12">
        <v>11</v>
      </c>
      <c r="H66" s="12">
        <v>4</v>
      </c>
      <c r="I66" s="12">
        <v>7</v>
      </c>
      <c r="J66" s="12">
        <v>6</v>
      </c>
      <c r="K66" s="4">
        <v>10</v>
      </c>
      <c r="L66" s="4">
        <v>10</v>
      </c>
      <c r="M66" s="4">
        <v>3</v>
      </c>
      <c r="N66" s="4">
        <v>4</v>
      </c>
      <c r="O66" s="5" t="s">
        <v>28</v>
      </c>
      <c r="P66" s="4" t="s">
        <v>20</v>
      </c>
      <c r="Q66" s="4" t="s">
        <v>20</v>
      </c>
      <c r="R66" s="4" t="s">
        <v>33</v>
      </c>
    </row>
    <row r="67" spans="1:18" ht="13.2" x14ac:dyDescent="0.25">
      <c r="A67" s="3">
        <v>44555.770805636574</v>
      </c>
      <c r="B67" s="4" t="s">
        <v>54</v>
      </c>
      <c r="C67" s="4" t="s">
        <v>26</v>
      </c>
      <c r="D67" s="4" t="s">
        <v>27</v>
      </c>
      <c r="E67" s="12">
        <v>2</v>
      </c>
      <c r="F67" s="4" t="s">
        <v>20</v>
      </c>
      <c r="G67" s="12">
        <v>10</v>
      </c>
      <c r="H67" s="12">
        <v>9</v>
      </c>
      <c r="I67" s="12">
        <v>6</v>
      </c>
      <c r="J67" s="12">
        <v>6</v>
      </c>
      <c r="K67" s="4">
        <v>2</v>
      </c>
      <c r="L67" s="4">
        <v>2</v>
      </c>
      <c r="M67" s="4">
        <v>4</v>
      </c>
      <c r="N67" s="4">
        <v>4</v>
      </c>
      <c r="O67" s="5" t="s">
        <v>55</v>
      </c>
      <c r="P67" s="4" t="s">
        <v>20</v>
      </c>
      <c r="Q67" s="4" t="s">
        <v>20</v>
      </c>
      <c r="R67" s="4" t="s">
        <v>305</v>
      </c>
    </row>
    <row r="68" spans="1:18" ht="13.2" x14ac:dyDescent="0.25">
      <c r="A68" s="3">
        <v>44557.449564560186</v>
      </c>
      <c r="B68" s="4" t="s">
        <v>146</v>
      </c>
      <c r="C68" s="7" t="s">
        <v>147</v>
      </c>
      <c r="D68" s="4" t="s">
        <v>27</v>
      </c>
      <c r="E68" s="12">
        <v>2</v>
      </c>
      <c r="F68" s="4" t="s">
        <v>20</v>
      </c>
      <c r="G68" s="12">
        <v>7</v>
      </c>
      <c r="H68" s="12">
        <v>7</v>
      </c>
      <c r="I68" s="12">
        <v>5</v>
      </c>
      <c r="J68" s="12">
        <v>5</v>
      </c>
      <c r="K68" s="4">
        <v>2</v>
      </c>
      <c r="L68" s="4">
        <v>2</v>
      </c>
      <c r="M68" s="4">
        <v>4</v>
      </c>
      <c r="N68" s="4">
        <v>4</v>
      </c>
      <c r="O68" s="5" t="s">
        <v>148</v>
      </c>
      <c r="P68" s="4" t="s">
        <v>20</v>
      </c>
      <c r="Q68" s="4" t="s">
        <v>43</v>
      </c>
      <c r="R68" s="4" t="s">
        <v>305</v>
      </c>
    </row>
    <row r="69" spans="1:18" ht="13.2" x14ac:dyDescent="0.25">
      <c r="A69" s="3">
        <v>44555.74415042824</v>
      </c>
      <c r="B69" s="4" t="s">
        <v>17</v>
      </c>
      <c r="C69" s="5" t="s">
        <v>18</v>
      </c>
      <c r="D69" s="4" t="s">
        <v>19</v>
      </c>
      <c r="E69" s="12">
        <v>2</v>
      </c>
      <c r="F69" s="4" t="s">
        <v>20</v>
      </c>
      <c r="G69" s="12">
        <v>10</v>
      </c>
      <c r="H69" s="12">
        <v>7</v>
      </c>
      <c r="I69" s="12">
        <v>6</v>
      </c>
      <c r="J69" s="12">
        <v>7</v>
      </c>
      <c r="K69" s="4">
        <v>2</v>
      </c>
      <c r="L69" s="4">
        <v>4</v>
      </c>
      <c r="M69" s="4">
        <v>4</v>
      </c>
      <c r="N69" s="4">
        <v>4</v>
      </c>
      <c r="O69" s="5" t="s">
        <v>21</v>
      </c>
      <c r="P69" s="4" t="s">
        <v>20</v>
      </c>
      <c r="Q69" s="4" t="s">
        <v>20</v>
      </c>
      <c r="R69" s="4" t="s">
        <v>305</v>
      </c>
    </row>
    <row r="70" spans="1:18" ht="13.2" x14ac:dyDescent="0.25">
      <c r="A70" s="3">
        <v>44557.43239696759</v>
      </c>
      <c r="B70" s="4" t="s">
        <v>141</v>
      </c>
      <c r="C70" s="4" t="s">
        <v>51</v>
      </c>
      <c r="D70" s="4" t="s">
        <v>27</v>
      </c>
      <c r="E70" s="12">
        <v>2</v>
      </c>
      <c r="F70" s="4" t="s">
        <v>20</v>
      </c>
      <c r="G70" s="12">
        <v>7</v>
      </c>
      <c r="H70" s="12">
        <v>7</v>
      </c>
      <c r="I70" s="12">
        <v>5</v>
      </c>
      <c r="J70" s="12">
        <v>5</v>
      </c>
      <c r="K70" s="4">
        <v>2</v>
      </c>
      <c r="L70" s="4">
        <v>4</v>
      </c>
      <c r="M70" s="4">
        <v>4</v>
      </c>
      <c r="N70" s="4">
        <v>4</v>
      </c>
      <c r="O70" s="5" t="s">
        <v>46</v>
      </c>
      <c r="P70" s="4" t="s">
        <v>20</v>
      </c>
      <c r="Q70" s="4" t="s">
        <v>43</v>
      </c>
      <c r="R70" s="4" t="s">
        <v>305</v>
      </c>
    </row>
    <row r="71" spans="1:18" ht="13.2" x14ac:dyDescent="0.25">
      <c r="A71" s="3">
        <v>44557.719987511577</v>
      </c>
      <c r="B71" s="4" t="s">
        <v>165</v>
      </c>
      <c r="C71" s="5" t="s">
        <v>82</v>
      </c>
      <c r="D71" s="4" t="s">
        <v>27</v>
      </c>
      <c r="E71" s="12">
        <v>2</v>
      </c>
      <c r="F71" s="4" t="s">
        <v>20</v>
      </c>
      <c r="G71" s="12">
        <v>8</v>
      </c>
      <c r="H71" s="12">
        <v>6</v>
      </c>
      <c r="I71" s="12">
        <v>6</v>
      </c>
      <c r="J71" s="12">
        <v>7</v>
      </c>
      <c r="K71" s="4">
        <v>4</v>
      </c>
      <c r="L71" s="4">
        <v>4</v>
      </c>
      <c r="M71" s="4">
        <v>4</v>
      </c>
      <c r="N71" s="4">
        <v>4</v>
      </c>
      <c r="O71" s="5" t="s">
        <v>46</v>
      </c>
      <c r="P71" s="4" t="s">
        <v>20</v>
      </c>
      <c r="Q71" s="4" t="s">
        <v>20</v>
      </c>
      <c r="R71" s="4" t="s">
        <v>305</v>
      </c>
    </row>
    <row r="72" spans="1:18" ht="13.2" x14ac:dyDescent="0.25">
      <c r="A72" s="3">
        <v>44557.76801255787</v>
      </c>
      <c r="B72" s="4" t="s">
        <v>170</v>
      </c>
      <c r="C72" s="4" t="s">
        <v>171</v>
      </c>
      <c r="D72" s="4" t="s">
        <v>19</v>
      </c>
      <c r="E72" s="12">
        <v>2</v>
      </c>
      <c r="F72" s="4" t="s">
        <v>20</v>
      </c>
      <c r="G72" s="12">
        <v>7</v>
      </c>
      <c r="H72" s="12">
        <v>7</v>
      </c>
      <c r="I72" s="12">
        <v>7</v>
      </c>
      <c r="J72" s="12">
        <v>7</v>
      </c>
      <c r="K72" s="4">
        <v>4</v>
      </c>
      <c r="L72" s="4">
        <v>4</v>
      </c>
      <c r="M72" s="4">
        <v>4</v>
      </c>
      <c r="N72" s="4">
        <v>4</v>
      </c>
      <c r="O72" s="5" t="s">
        <v>46</v>
      </c>
      <c r="P72" s="4" t="s">
        <v>20</v>
      </c>
      <c r="Q72" s="4" t="s">
        <v>20</v>
      </c>
      <c r="R72" s="4" t="s">
        <v>305</v>
      </c>
    </row>
    <row r="73" spans="1:18" ht="13.2" x14ac:dyDescent="0.25">
      <c r="A73" s="3">
        <v>44555.821112951387</v>
      </c>
      <c r="B73" s="4" t="s">
        <v>98</v>
      </c>
      <c r="C73" s="5" t="s">
        <v>95</v>
      </c>
      <c r="D73" s="4" t="s">
        <v>19</v>
      </c>
      <c r="E73" s="12">
        <v>1</v>
      </c>
      <c r="F73" s="4" t="s">
        <v>20</v>
      </c>
      <c r="G73" s="12">
        <v>8</v>
      </c>
      <c r="H73" s="12">
        <v>7</v>
      </c>
      <c r="I73" s="12">
        <v>6</v>
      </c>
      <c r="J73" s="12">
        <v>5</v>
      </c>
      <c r="K73" s="4">
        <v>6</v>
      </c>
      <c r="L73" s="4">
        <v>4</v>
      </c>
      <c r="M73" s="4">
        <v>4</v>
      </c>
      <c r="N73" s="4">
        <v>4</v>
      </c>
      <c r="O73" s="5" t="s">
        <v>55</v>
      </c>
      <c r="P73" s="4" t="s">
        <v>43</v>
      </c>
      <c r="Q73" s="4" t="s">
        <v>20</v>
      </c>
      <c r="R73" s="4" t="s">
        <v>305</v>
      </c>
    </row>
    <row r="74" spans="1:18" ht="13.2" x14ac:dyDescent="0.25">
      <c r="A74" s="3">
        <v>44568.376805416665</v>
      </c>
      <c r="B74" s="4" t="s">
        <v>194</v>
      </c>
      <c r="C74" s="4" t="s">
        <v>195</v>
      </c>
      <c r="D74" s="4" t="s">
        <v>27</v>
      </c>
      <c r="E74" s="12">
        <v>2</v>
      </c>
      <c r="F74" s="4" t="s">
        <v>20</v>
      </c>
      <c r="G74" s="12">
        <v>6</v>
      </c>
      <c r="H74" s="12">
        <v>6</v>
      </c>
      <c r="I74" s="12">
        <v>6</v>
      </c>
      <c r="J74" s="12">
        <v>5</v>
      </c>
      <c r="K74" s="4">
        <v>6</v>
      </c>
      <c r="L74" s="4">
        <v>6</v>
      </c>
      <c r="M74" s="4">
        <v>4</v>
      </c>
      <c r="N74" s="4">
        <v>4</v>
      </c>
      <c r="O74" s="5" t="s">
        <v>124</v>
      </c>
      <c r="P74" s="4" t="s">
        <v>43</v>
      </c>
      <c r="Q74" s="4" t="s">
        <v>20</v>
      </c>
      <c r="R74" s="4" t="s">
        <v>33</v>
      </c>
    </row>
    <row r="75" spans="1:18" ht="13.2" x14ac:dyDescent="0.25">
      <c r="A75" s="3">
        <v>44555.915293645834</v>
      </c>
      <c r="B75" s="4" t="s">
        <v>110</v>
      </c>
      <c r="C75" s="4" t="s">
        <v>40</v>
      </c>
      <c r="D75" s="4" t="s">
        <v>19</v>
      </c>
      <c r="E75" s="12">
        <v>1</v>
      </c>
      <c r="F75" s="4" t="s">
        <v>20</v>
      </c>
      <c r="G75" s="12">
        <v>7</v>
      </c>
      <c r="H75" s="12">
        <v>7</v>
      </c>
      <c r="I75" s="12">
        <v>5</v>
      </c>
      <c r="J75" s="12">
        <v>6</v>
      </c>
      <c r="K75" s="4">
        <v>2</v>
      </c>
      <c r="L75" s="4">
        <v>2</v>
      </c>
      <c r="M75" s="4">
        <v>5</v>
      </c>
      <c r="N75" s="4">
        <v>4</v>
      </c>
      <c r="O75" s="5" t="s">
        <v>55</v>
      </c>
      <c r="P75" s="4" t="s">
        <v>20</v>
      </c>
      <c r="Q75" s="4" t="s">
        <v>20</v>
      </c>
      <c r="R75" s="4" t="s">
        <v>305</v>
      </c>
    </row>
    <row r="76" spans="1:18" ht="13.2" x14ac:dyDescent="0.25">
      <c r="A76" s="3">
        <v>44555.775322395828</v>
      </c>
      <c r="B76" s="4" t="s">
        <v>58</v>
      </c>
      <c r="C76" s="5" t="s">
        <v>59</v>
      </c>
      <c r="D76" s="4" t="s">
        <v>27</v>
      </c>
      <c r="E76" s="12">
        <v>3</v>
      </c>
      <c r="F76" s="4" t="s">
        <v>20</v>
      </c>
      <c r="G76" s="12">
        <v>9</v>
      </c>
      <c r="H76" s="12">
        <v>6</v>
      </c>
      <c r="I76" s="12">
        <v>5</v>
      </c>
      <c r="J76" s="12">
        <v>5</v>
      </c>
      <c r="K76" s="4">
        <v>2</v>
      </c>
      <c r="L76" s="4">
        <v>2</v>
      </c>
      <c r="M76" s="4">
        <v>1</v>
      </c>
      <c r="N76" s="4">
        <v>5</v>
      </c>
      <c r="O76" s="5" t="s">
        <v>60</v>
      </c>
      <c r="P76" s="4" t="s">
        <v>20</v>
      </c>
      <c r="Q76" s="4" t="s">
        <v>20</v>
      </c>
      <c r="R76" s="4" t="s">
        <v>33</v>
      </c>
    </row>
    <row r="77" spans="1:18" ht="13.2" x14ac:dyDescent="0.25">
      <c r="A77" s="3">
        <v>44555.781917349537</v>
      </c>
      <c r="B77" s="4" t="s">
        <v>64</v>
      </c>
      <c r="C77" s="5" t="s">
        <v>65</v>
      </c>
      <c r="D77" s="4" t="s">
        <v>27</v>
      </c>
      <c r="E77" s="12">
        <v>3</v>
      </c>
      <c r="F77" s="4" t="s">
        <v>20</v>
      </c>
      <c r="G77" s="12">
        <v>9</v>
      </c>
      <c r="H77" s="12">
        <v>6</v>
      </c>
      <c r="I77" s="12">
        <v>6</v>
      </c>
      <c r="J77" s="12">
        <v>5</v>
      </c>
      <c r="K77" s="4">
        <v>2</v>
      </c>
      <c r="L77" s="4">
        <v>2</v>
      </c>
      <c r="M77" s="4">
        <v>1</v>
      </c>
      <c r="N77" s="4">
        <v>5</v>
      </c>
      <c r="O77" s="5" t="s">
        <v>66</v>
      </c>
      <c r="P77" s="4" t="s">
        <v>20</v>
      </c>
      <c r="Q77" s="4" t="s">
        <v>20</v>
      </c>
      <c r="R77" s="4" t="s">
        <v>33</v>
      </c>
    </row>
    <row r="78" spans="1:18" ht="13.2" x14ac:dyDescent="0.25">
      <c r="A78" s="3">
        <v>44555.90459366898</v>
      </c>
      <c r="B78" s="4" t="s">
        <v>107</v>
      </c>
      <c r="C78" s="4" t="s">
        <v>108</v>
      </c>
      <c r="D78" s="4" t="s">
        <v>19</v>
      </c>
      <c r="E78" s="12">
        <v>2</v>
      </c>
      <c r="F78" s="4" t="s">
        <v>20</v>
      </c>
      <c r="G78" s="12">
        <v>6</v>
      </c>
      <c r="H78" s="12">
        <v>5</v>
      </c>
      <c r="I78" s="12">
        <v>6</v>
      </c>
      <c r="J78" s="12">
        <v>6</v>
      </c>
      <c r="K78" s="4">
        <v>2</v>
      </c>
      <c r="L78" s="4">
        <v>2</v>
      </c>
      <c r="M78" s="4">
        <v>1</v>
      </c>
      <c r="N78" s="4">
        <v>5</v>
      </c>
      <c r="O78" s="5" t="s">
        <v>66</v>
      </c>
      <c r="P78" s="4" t="s">
        <v>20</v>
      </c>
      <c r="Q78" s="4" t="s">
        <v>20</v>
      </c>
      <c r="R78" s="4" t="s">
        <v>305</v>
      </c>
    </row>
    <row r="79" spans="1:18" ht="13.2" x14ac:dyDescent="0.25">
      <c r="A79" s="3">
        <v>44557.908230335648</v>
      </c>
      <c r="B79" s="4" t="s">
        <v>175</v>
      </c>
      <c r="C79" s="4" t="s">
        <v>176</v>
      </c>
      <c r="D79" s="4" t="s">
        <v>19</v>
      </c>
      <c r="E79" s="12">
        <v>2</v>
      </c>
      <c r="F79" s="4" t="s">
        <v>20</v>
      </c>
      <c r="G79" s="12">
        <v>6</v>
      </c>
      <c r="H79" s="12">
        <v>4</v>
      </c>
      <c r="I79" s="12">
        <v>5</v>
      </c>
      <c r="J79" s="12">
        <v>7</v>
      </c>
      <c r="K79" s="4">
        <v>2</v>
      </c>
      <c r="L79" s="4">
        <v>4</v>
      </c>
      <c r="M79" s="4">
        <v>1</v>
      </c>
      <c r="N79" s="4">
        <v>5</v>
      </c>
      <c r="O79" s="5" t="s">
        <v>46</v>
      </c>
      <c r="P79" s="4" t="s">
        <v>20</v>
      </c>
      <c r="Q79" s="4" t="s">
        <v>20</v>
      </c>
      <c r="R79" s="4" t="s">
        <v>305</v>
      </c>
    </row>
    <row r="80" spans="1:18" ht="13.2" x14ac:dyDescent="0.25">
      <c r="A80" s="3">
        <v>44555.817835775466</v>
      </c>
      <c r="B80" s="4" t="s">
        <v>94</v>
      </c>
      <c r="C80" s="4" t="s">
        <v>95</v>
      </c>
      <c r="D80" s="4" t="s">
        <v>19</v>
      </c>
      <c r="E80" s="12">
        <v>1</v>
      </c>
      <c r="F80" s="4" t="s">
        <v>20</v>
      </c>
      <c r="G80" s="12">
        <v>7</v>
      </c>
      <c r="H80" s="12">
        <v>5</v>
      </c>
      <c r="I80" s="12">
        <v>5</v>
      </c>
      <c r="J80" s="12">
        <v>7</v>
      </c>
      <c r="K80" s="4">
        <v>2</v>
      </c>
      <c r="L80" s="4">
        <v>6</v>
      </c>
      <c r="M80" s="4">
        <v>1</v>
      </c>
      <c r="N80" s="4">
        <v>5</v>
      </c>
      <c r="O80" s="5" t="s">
        <v>28</v>
      </c>
      <c r="P80" s="4" t="s">
        <v>20</v>
      </c>
      <c r="Q80" s="4" t="s">
        <v>20</v>
      </c>
      <c r="R80" s="4" t="s">
        <v>305</v>
      </c>
    </row>
    <row r="81" spans="1:18" ht="13.2" x14ac:dyDescent="0.25">
      <c r="A81" s="3">
        <v>44565.519767835649</v>
      </c>
      <c r="B81" s="4" t="s">
        <v>186</v>
      </c>
      <c r="C81" s="4" t="s">
        <v>187</v>
      </c>
      <c r="D81" s="4" t="s">
        <v>27</v>
      </c>
      <c r="E81" s="12">
        <v>2</v>
      </c>
      <c r="F81" s="4" t="s">
        <v>20</v>
      </c>
      <c r="G81" s="12">
        <v>8</v>
      </c>
      <c r="H81" s="12">
        <v>6</v>
      </c>
      <c r="I81" s="12">
        <v>6</v>
      </c>
      <c r="J81" s="12">
        <v>7</v>
      </c>
      <c r="K81" s="4">
        <v>2</v>
      </c>
      <c r="L81" s="4">
        <v>6</v>
      </c>
      <c r="M81" s="4">
        <v>1</v>
      </c>
      <c r="N81" s="4">
        <v>5</v>
      </c>
      <c r="O81" s="5" t="s">
        <v>188</v>
      </c>
      <c r="P81" s="4" t="s">
        <v>20</v>
      </c>
      <c r="Q81" s="4" t="s">
        <v>20</v>
      </c>
      <c r="R81" s="4" t="s">
        <v>305</v>
      </c>
    </row>
    <row r="82" spans="1:18" ht="13.2" x14ac:dyDescent="0.25">
      <c r="A82" s="3">
        <v>44555.795226643517</v>
      </c>
      <c r="B82" s="4" t="s">
        <v>81</v>
      </c>
      <c r="C82" s="5" t="s">
        <v>82</v>
      </c>
      <c r="D82" s="4" t="s">
        <v>27</v>
      </c>
      <c r="E82" s="12">
        <v>2</v>
      </c>
      <c r="F82" s="4" t="s">
        <v>20</v>
      </c>
      <c r="G82" s="12">
        <v>6</v>
      </c>
      <c r="H82" s="12">
        <v>5</v>
      </c>
      <c r="I82" s="12">
        <v>5</v>
      </c>
      <c r="J82" s="12">
        <v>7</v>
      </c>
      <c r="K82" s="4">
        <v>4</v>
      </c>
      <c r="L82" s="4">
        <v>2</v>
      </c>
      <c r="M82" s="4">
        <v>1</v>
      </c>
      <c r="N82" s="4">
        <v>5</v>
      </c>
      <c r="O82" s="5" t="s">
        <v>46</v>
      </c>
      <c r="P82" s="4" t="s">
        <v>20</v>
      </c>
      <c r="Q82" s="4" t="s">
        <v>20</v>
      </c>
      <c r="R82" s="4" t="s">
        <v>305</v>
      </c>
    </row>
    <row r="83" spans="1:18" ht="13.2" x14ac:dyDescent="0.25">
      <c r="A83" s="3">
        <v>44557.432726099534</v>
      </c>
      <c r="B83" s="4" t="s">
        <v>142</v>
      </c>
      <c r="C83" s="4" t="s">
        <v>126</v>
      </c>
      <c r="D83" s="4" t="s">
        <v>27</v>
      </c>
      <c r="E83" s="12">
        <v>2</v>
      </c>
      <c r="F83" s="4" t="s">
        <v>20</v>
      </c>
      <c r="G83" s="12">
        <v>7</v>
      </c>
      <c r="H83" s="12">
        <v>6</v>
      </c>
      <c r="I83" s="12">
        <v>5</v>
      </c>
      <c r="J83" s="12">
        <v>6</v>
      </c>
      <c r="K83" s="4">
        <v>2</v>
      </c>
      <c r="L83" s="4">
        <v>2</v>
      </c>
      <c r="M83" s="4">
        <v>2</v>
      </c>
      <c r="N83" s="4">
        <v>5</v>
      </c>
      <c r="O83" s="5" t="s">
        <v>24</v>
      </c>
      <c r="P83" s="4" t="s">
        <v>20</v>
      </c>
      <c r="Q83" s="4" t="s">
        <v>20</v>
      </c>
      <c r="R83" s="4" t="s">
        <v>33</v>
      </c>
    </row>
    <row r="84" spans="1:18" ht="13.2" x14ac:dyDescent="0.25">
      <c r="A84" s="3">
        <v>44555.85723090278</v>
      </c>
      <c r="B84" s="4" t="s">
        <v>102</v>
      </c>
      <c r="C84" s="4" t="s">
        <v>103</v>
      </c>
      <c r="D84" s="4" t="s">
        <v>27</v>
      </c>
      <c r="E84" s="12">
        <v>2</v>
      </c>
      <c r="F84" s="4" t="s">
        <v>20</v>
      </c>
      <c r="G84" s="12">
        <v>5</v>
      </c>
      <c r="H84" s="12">
        <v>6</v>
      </c>
      <c r="I84" s="12">
        <v>5</v>
      </c>
      <c r="J84" s="12">
        <v>5</v>
      </c>
      <c r="K84" s="4">
        <v>2</v>
      </c>
      <c r="L84" s="4">
        <v>4</v>
      </c>
      <c r="M84" s="4">
        <v>2</v>
      </c>
      <c r="N84" s="4">
        <v>5</v>
      </c>
      <c r="O84" s="5" t="s">
        <v>24</v>
      </c>
      <c r="P84" s="4" t="s">
        <v>20</v>
      </c>
      <c r="Q84" s="4" t="s">
        <v>20</v>
      </c>
      <c r="R84" s="4" t="s">
        <v>305</v>
      </c>
    </row>
    <row r="85" spans="1:18" ht="13.2" x14ac:dyDescent="0.25">
      <c r="A85" s="3">
        <v>44557.382077638889</v>
      </c>
      <c r="B85" s="4" t="s">
        <v>131</v>
      </c>
      <c r="C85" s="4" t="s">
        <v>40</v>
      </c>
      <c r="D85" s="4" t="s">
        <v>27</v>
      </c>
      <c r="E85" s="12">
        <v>1</v>
      </c>
      <c r="F85" s="4" t="s">
        <v>20</v>
      </c>
      <c r="G85" s="12">
        <v>5</v>
      </c>
      <c r="H85" s="12">
        <v>5</v>
      </c>
      <c r="I85" s="12">
        <v>6</v>
      </c>
      <c r="J85" s="12">
        <v>6</v>
      </c>
      <c r="K85" s="4">
        <v>4</v>
      </c>
      <c r="L85" s="4">
        <v>4</v>
      </c>
      <c r="M85" s="4">
        <v>2</v>
      </c>
      <c r="N85" s="4">
        <v>5</v>
      </c>
      <c r="O85" s="5" t="s">
        <v>28</v>
      </c>
      <c r="P85" s="4" t="s">
        <v>20</v>
      </c>
      <c r="Q85" s="4" t="s">
        <v>20</v>
      </c>
      <c r="R85" s="4" t="s">
        <v>33</v>
      </c>
    </row>
    <row r="86" spans="1:18" ht="13.2" x14ac:dyDescent="0.25">
      <c r="A86" s="3">
        <v>44565.372715717589</v>
      </c>
      <c r="B86" s="4" t="s">
        <v>179</v>
      </c>
      <c r="C86" s="4" t="s">
        <v>126</v>
      </c>
      <c r="D86" s="4" t="s">
        <v>27</v>
      </c>
      <c r="E86" s="12">
        <v>2</v>
      </c>
      <c r="F86" s="4" t="s">
        <v>20</v>
      </c>
      <c r="G86" s="12">
        <v>5</v>
      </c>
      <c r="H86" s="12">
        <v>4</v>
      </c>
      <c r="I86" s="12">
        <v>5</v>
      </c>
      <c r="J86" s="12">
        <v>5</v>
      </c>
      <c r="K86" s="4">
        <v>4</v>
      </c>
      <c r="L86" s="4">
        <v>4</v>
      </c>
      <c r="M86" s="4">
        <v>2</v>
      </c>
      <c r="N86" s="4">
        <v>5</v>
      </c>
      <c r="O86" s="5" t="s">
        <v>28</v>
      </c>
      <c r="P86" s="4" t="s">
        <v>20</v>
      </c>
      <c r="Q86" s="4" t="s">
        <v>20</v>
      </c>
      <c r="R86" s="4" t="s">
        <v>33</v>
      </c>
    </row>
    <row r="87" spans="1:18" ht="13.2" x14ac:dyDescent="0.25">
      <c r="A87" s="3">
        <v>44555.787148668984</v>
      </c>
      <c r="B87" s="4" t="s">
        <v>73</v>
      </c>
      <c r="C87" s="6" t="s">
        <v>74</v>
      </c>
      <c r="D87" s="4" t="s">
        <v>19</v>
      </c>
      <c r="E87" s="12">
        <v>3</v>
      </c>
      <c r="F87" s="4" t="s">
        <v>20</v>
      </c>
      <c r="G87" s="12">
        <v>7</v>
      </c>
      <c r="H87" s="12">
        <v>6</v>
      </c>
      <c r="I87" s="12">
        <v>5</v>
      </c>
      <c r="J87" s="12">
        <v>6</v>
      </c>
      <c r="K87" s="4">
        <v>2</v>
      </c>
      <c r="L87" s="4">
        <v>2</v>
      </c>
      <c r="M87" s="4">
        <v>3</v>
      </c>
      <c r="N87" s="4">
        <v>5</v>
      </c>
      <c r="O87" s="4" t="s">
        <v>24</v>
      </c>
      <c r="P87" s="4" t="s">
        <v>43</v>
      </c>
      <c r="Q87" s="4" t="s">
        <v>20</v>
      </c>
      <c r="R87" s="4" t="s">
        <v>305</v>
      </c>
    </row>
    <row r="88" spans="1:18" ht="13.2" x14ac:dyDescent="0.25">
      <c r="A88" s="3">
        <v>44556.515525509254</v>
      </c>
      <c r="B88" s="4" t="s">
        <v>116</v>
      </c>
      <c r="C88" s="4" t="s">
        <v>117</v>
      </c>
      <c r="D88" s="4" t="s">
        <v>19</v>
      </c>
      <c r="E88" s="12">
        <v>2</v>
      </c>
      <c r="F88" s="4" t="s">
        <v>20</v>
      </c>
      <c r="G88" s="12">
        <v>6</v>
      </c>
      <c r="H88" s="12">
        <v>7</v>
      </c>
      <c r="I88" s="12">
        <v>5</v>
      </c>
      <c r="J88" s="12">
        <v>5</v>
      </c>
      <c r="K88" s="4">
        <v>2</v>
      </c>
      <c r="L88" s="4">
        <v>2</v>
      </c>
      <c r="M88" s="4">
        <v>3</v>
      </c>
      <c r="N88" s="4">
        <v>5</v>
      </c>
      <c r="O88" s="4" t="s">
        <v>118</v>
      </c>
      <c r="P88" s="4" t="s">
        <v>20</v>
      </c>
      <c r="Q88" s="4" t="s">
        <v>20</v>
      </c>
      <c r="R88" s="4" t="s">
        <v>305</v>
      </c>
    </row>
    <row r="89" spans="1:18" ht="13.2" x14ac:dyDescent="0.25">
      <c r="A89" s="3">
        <v>44556.624106365736</v>
      </c>
      <c r="B89" s="4" t="s">
        <v>120</v>
      </c>
      <c r="C89" s="4" t="s">
        <v>26</v>
      </c>
      <c r="D89" s="4" t="s">
        <v>19</v>
      </c>
      <c r="E89" s="12">
        <v>2</v>
      </c>
      <c r="F89" s="4" t="s">
        <v>20</v>
      </c>
      <c r="G89" s="12">
        <v>9</v>
      </c>
      <c r="H89" s="12">
        <v>6</v>
      </c>
      <c r="I89" s="12">
        <v>5</v>
      </c>
      <c r="J89" s="12">
        <v>6</v>
      </c>
      <c r="K89" s="4">
        <v>2</v>
      </c>
      <c r="L89" s="4">
        <v>2</v>
      </c>
      <c r="M89" s="4">
        <v>3</v>
      </c>
      <c r="N89" s="4">
        <v>5</v>
      </c>
      <c r="O89" s="4" t="s">
        <v>46</v>
      </c>
      <c r="P89" s="4" t="s">
        <v>20</v>
      </c>
      <c r="Q89" s="4" t="s">
        <v>20</v>
      </c>
      <c r="R89" s="4" t="s">
        <v>305</v>
      </c>
    </row>
    <row r="90" spans="1:18" ht="13.2" x14ac:dyDescent="0.25">
      <c r="A90" s="3">
        <v>44555.798438796293</v>
      </c>
      <c r="B90" s="4" t="s">
        <v>86</v>
      </c>
      <c r="C90" s="5" t="s">
        <v>87</v>
      </c>
      <c r="D90" s="4" t="s">
        <v>27</v>
      </c>
      <c r="E90" s="12">
        <v>3</v>
      </c>
      <c r="F90" s="4" t="s">
        <v>20</v>
      </c>
      <c r="G90" s="12">
        <v>7</v>
      </c>
      <c r="H90" s="12">
        <v>5</v>
      </c>
      <c r="I90" s="12">
        <v>7</v>
      </c>
      <c r="J90" s="12">
        <v>5</v>
      </c>
      <c r="K90" s="4">
        <v>2</v>
      </c>
      <c r="L90" s="4">
        <v>4</v>
      </c>
      <c r="M90" s="4">
        <v>3</v>
      </c>
      <c r="N90" s="4">
        <v>5</v>
      </c>
      <c r="O90" s="4" t="s">
        <v>28</v>
      </c>
      <c r="P90" s="4" t="s">
        <v>20</v>
      </c>
      <c r="Q90" s="4" t="s">
        <v>20</v>
      </c>
      <c r="R90" s="4" t="s">
        <v>305</v>
      </c>
    </row>
    <row r="91" spans="1:18" ht="13.2" x14ac:dyDescent="0.25">
      <c r="A91" s="3">
        <v>44555.750461238422</v>
      </c>
      <c r="B91" s="4" t="s">
        <v>31</v>
      </c>
      <c r="C91" s="4" t="s">
        <v>32</v>
      </c>
      <c r="D91" s="4" t="s">
        <v>19</v>
      </c>
      <c r="E91" s="12">
        <v>2</v>
      </c>
      <c r="F91" s="4" t="s">
        <v>20</v>
      </c>
      <c r="G91" s="12">
        <v>8</v>
      </c>
      <c r="H91" s="12">
        <v>5</v>
      </c>
      <c r="I91" s="12">
        <v>5</v>
      </c>
      <c r="J91" s="12">
        <v>6</v>
      </c>
      <c r="K91" s="4">
        <v>2</v>
      </c>
      <c r="L91" s="4">
        <v>6</v>
      </c>
      <c r="M91" s="4">
        <v>3</v>
      </c>
      <c r="N91" s="4">
        <v>5</v>
      </c>
      <c r="O91" s="4" t="s">
        <v>28</v>
      </c>
      <c r="P91" s="4" t="s">
        <v>20</v>
      </c>
      <c r="Q91" s="4" t="s">
        <v>20</v>
      </c>
      <c r="R91" s="4" t="s">
        <v>33</v>
      </c>
    </row>
    <row r="92" spans="1:18" ht="13.2" x14ac:dyDescent="0.25">
      <c r="A92" s="3">
        <v>44555.788361527782</v>
      </c>
      <c r="B92" s="4" t="s">
        <v>77</v>
      </c>
      <c r="C92" s="5" t="s">
        <v>78</v>
      </c>
      <c r="D92" s="4" t="s">
        <v>27</v>
      </c>
      <c r="E92" s="12">
        <v>2</v>
      </c>
      <c r="F92" s="4" t="s">
        <v>20</v>
      </c>
      <c r="G92" s="12">
        <v>4</v>
      </c>
      <c r="H92" s="12">
        <v>4</v>
      </c>
      <c r="I92" s="12">
        <v>7</v>
      </c>
      <c r="J92" s="12">
        <v>7</v>
      </c>
      <c r="K92" s="4">
        <v>4</v>
      </c>
      <c r="L92" s="4">
        <v>2</v>
      </c>
      <c r="M92" s="4">
        <v>3</v>
      </c>
      <c r="N92" s="4">
        <v>5</v>
      </c>
      <c r="O92" s="4" t="s">
        <v>55</v>
      </c>
      <c r="P92" s="4" t="s">
        <v>43</v>
      </c>
      <c r="Q92" s="4" t="s">
        <v>20</v>
      </c>
      <c r="R92" s="4" t="s">
        <v>33</v>
      </c>
    </row>
    <row r="93" spans="1:18" ht="13.2" x14ac:dyDescent="0.25">
      <c r="A93" s="3">
        <v>44557.770110694444</v>
      </c>
      <c r="B93" s="4" t="s">
        <v>172</v>
      </c>
      <c r="C93" s="4" t="s">
        <v>89</v>
      </c>
      <c r="D93" s="4" t="s">
        <v>27</v>
      </c>
      <c r="E93" s="12">
        <v>1</v>
      </c>
      <c r="F93" s="4" t="s">
        <v>20</v>
      </c>
      <c r="G93" s="12">
        <v>6</v>
      </c>
      <c r="H93" s="12">
        <v>5</v>
      </c>
      <c r="I93" s="12">
        <v>6</v>
      </c>
      <c r="J93" s="12">
        <v>5</v>
      </c>
      <c r="K93" s="4">
        <v>4</v>
      </c>
      <c r="L93" s="4">
        <v>4</v>
      </c>
      <c r="M93" s="4">
        <v>3</v>
      </c>
      <c r="N93" s="4">
        <v>5</v>
      </c>
      <c r="O93" s="4" t="s">
        <v>106</v>
      </c>
      <c r="P93" s="4" t="s">
        <v>20</v>
      </c>
      <c r="Q93" s="4" t="s">
        <v>20</v>
      </c>
      <c r="R93" s="4" t="s">
        <v>305</v>
      </c>
    </row>
    <row r="94" spans="1:18" ht="13.2" x14ac:dyDescent="0.25">
      <c r="A94" s="3">
        <v>44557.845566689815</v>
      </c>
      <c r="B94" s="4" t="s">
        <v>173</v>
      </c>
      <c r="C94" s="4" t="s">
        <v>174</v>
      </c>
      <c r="D94" s="4" t="s">
        <v>19</v>
      </c>
      <c r="E94" s="12">
        <v>2</v>
      </c>
      <c r="F94" s="4" t="s">
        <v>20</v>
      </c>
      <c r="G94" s="12">
        <v>6</v>
      </c>
      <c r="H94" s="12">
        <v>5</v>
      </c>
      <c r="I94" s="12">
        <v>6</v>
      </c>
      <c r="J94" s="12">
        <v>5</v>
      </c>
      <c r="K94" s="4">
        <v>4</v>
      </c>
      <c r="L94" s="4">
        <v>4</v>
      </c>
      <c r="M94" s="4">
        <v>3</v>
      </c>
      <c r="N94" s="4">
        <v>5</v>
      </c>
      <c r="O94" s="4" t="s">
        <v>28</v>
      </c>
      <c r="P94" s="4" t="s">
        <v>20</v>
      </c>
      <c r="Q94" s="4" t="s">
        <v>20</v>
      </c>
      <c r="R94" s="4" t="s">
        <v>305</v>
      </c>
    </row>
    <row r="95" spans="1:18" ht="13.2" x14ac:dyDescent="0.25">
      <c r="A95" s="3">
        <v>44568.619376458329</v>
      </c>
      <c r="B95" s="4" t="s">
        <v>200</v>
      </c>
      <c r="C95" s="4">
        <v>9</v>
      </c>
      <c r="D95" s="4" t="s">
        <v>19</v>
      </c>
      <c r="E95" s="12">
        <v>1</v>
      </c>
      <c r="F95" s="4" t="s">
        <v>43</v>
      </c>
      <c r="G95" s="12">
        <v>4</v>
      </c>
      <c r="H95" s="12">
        <v>4</v>
      </c>
      <c r="I95" s="12">
        <v>6</v>
      </c>
      <c r="J95" s="12">
        <v>6</v>
      </c>
      <c r="K95" s="4">
        <v>4</v>
      </c>
      <c r="L95" s="4">
        <v>4</v>
      </c>
      <c r="M95" s="4">
        <v>3</v>
      </c>
      <c r="N95" s="4">
        <v>5</v>
      </c>
      <c r="O95" s="4" t="s">
        <v>28</v>
      </c>
      <c r="P95" s="4" t="s">
        <v>20</v>
      </c>
      <c r="Q95" s="4" t="s">
        <v>43</v>
      </c>
      <c r="R95" s="4" t="s">
        <v>305</v>
      </c>
    </row>
    <row r="96" spans="1:18" ht="13.2" x14ac:dyDescent="0.25">
      <c r="A96" s="3">
        <v>44555.744251284719</v>
      </c>
      <c r="B96" s="4" t="s">
        <v>22</v>
      </c>
      <c r="C96" s="4" t="s">
        <v>23</v>
      </c>
      <c r="D96" s="4" t="s">
        <v>19</v>
      </c>
      <c r="E96" s="12">
        <v>2</v>
      </c>
      <c r="F96" s="4" t="s">
        <v>20</v>
      </c>
      <c r="G96" s="12">
        <v>7</v>
      </c>
      <c r="H96" s="12">
        <v>5</v>
      </c>
      <c r="I96" s="12">
        <v>6</v>
      </c>
      <c r="J96" s="12">
        <v>7</v>
      </c>
      <c r="K96" s="4">
        <v>6</v>
      </c>
      <c r="L96" s="4">
        <v>4</v>
      </c>
      <c r="M96" s="4">
        <v>3</v>
      </c>
      <c r="N96" s="4">
        <v>5</v>
      </c>
      <c r="O96" s="4" t="s">
        <v>24</v>
      </c>
      <c r="P96" s="4" t="s">
        <v>20</v>
      </c>
      <c r="Q96" s="4" t="s">
        <v>20</v>
      </c>
      <c r="R96" s="4" t="s">
        <v>305</v>
      </c>
    </row>
    <row r="97" spans="1:18" ht="13.2" x14ac:dyDescent="0.25">
      <c r="A97" s="3">
        <v>44556.515579479164</v>
      </c>
      <c r="B97" s="4" t="s">
        <v>119</v>
      </c>
      <c r="C97" s="4" t="s">
        <v>82</v>
      </c>
      <c r="D97" s="4" t="s">
        <v>27</v>
      </c>
      <c r="E97" s="12">
        <v>2</v>
      </c>
      <c r="F97" s="4" t="s">
        <v>20</v>
      </c>
      <c r="G97" s="12">
        <v>8</v>
      </c>
      <c r="H97" s="12">
        <v>6</v>
      </c>
      <c r="I97" s="12">
        <v>5</v>
      </c>
      <c r="J97" s="12">
        <v>7</v>
      </c>
      <c r="K97" s="4">
        <v>2</v>
      </c>
      <c r="L97" s="4">
        <v>2</v>
      </c>
      <c r="M97" s="4">
        <v>4</v>
      </c>
      <c r="N97" s="4">
        <v>5</v>
      </c>
      <c r="O97" s="4" t="s">
        <v>106</v>
      </c>
      <c r="P97" s="4" t="s">
        <v>20</v>
      </c>
      <c r="Q97" s="4" t="s">
        <v>20</v>
      </c>
      <c r="R97" s="4" t="s">
        <v>305</v>
      </c>
    </row>
    <row r="98" spans="1:18" ht="13.2" x14ac:dyDescent="0.25">
      <c r="A98" s="3">
        <v>44568.345019444445</v>
      </c>
      <c r="B98" s="4" t="s">
        <v>189</v>
      </c>
      <c r="C98" s="4">
        <v>11</v>
      </c>
      <c r="D98" s="4" t="s">
        <v>27</v>
      </c>
      <c r="E98" s="12">
        <v>1</v>
      </c>
      <c r="F98" s="4" t="s">
        <v>20</v>
      </c>
      <c r="G98" s="12">
        <v>6</v>
      </c>
      <c r="H98" s="12">
        <v>4</v>
      </c>
      <c r="I98" s="12">
        <v>5</v>
      </c>
      <c r="J98" s="12">
        <v>5</v>
      </c>
      <c r="K98" s="4">
        <v>4</v>
      </c>
      <c r="L98" s="4">
        <v>2</v>
      </c>
      <c r="M98" s="4">
        <v>4</v>
      </c>
      <c r="N98" s="4">
        <v>5</v>
      </c>
      <c r="O98" s="4" t="s">
        <v>28</v>
      </c>
      <c r="P98" s="4" t="s">
        <v>20</v>
      </c>
      <c r="Q98" s="4" t="s">
        <v>20</v>
      </c>
      <c r="R98" s="4" t="s">
        <v>305</v>
      </c>
    </row>
    <row r="99" spans="1:18" ht="13.2" x14ac:dyDescent="0.25">
      <c r="A99" s="3">
        <v>44568.356033692129</v>
      </c>
      <c r="B99" s="4" t="s">
        <v>190</v>
      </c>
      <c r="C99" s="4" t="s">
        <v>191</v>
      </c>
      <c r="D99" s="4" t="s">
        <v>19</v>
      </c>
      <c r="E99" s="12">
        <v>2</v>
      </c>
      <c r="F99" s="4" t="s">
        <v>20</v>
      </c>
      <c r="G99" s="12">
        <v>4</v>
      </c>
      <c r="H99" s="12">
        <v>4</v>
      </c>
      <c r="I99" s="12">
        <v>5</v>
      </c>
      <c r="J99" s="12">
        <v>5</v>
      </c>
      <c r="K99" s="4">
        <v>6</v>
      </c>
      <c r="L99" s="4">
        <v>8</v>
      </c>
      <c r="M99" s="4">
        <v>4</v>
      </c>
      <c r="N99" s="4">
        <v>5</v>
      </c>
      <c r="O99" s="4" t="s">
        <v>46</v>
      </c>
      <c r="P99" s="4" t="s">
        <v>43</v>
      </c>
      <c r="Q99" s="4" t="s">
        <v>20</v>
      </c>
      <c r="R99" s="4" t="s">
        <v>305</v>
      </c>
    </row>
    <row r="100" spans="1:18" ht="13.2" x14ac:dyDescent="0.25">
      <c r="A100" s="3">
        <v>44557.41315375</v>
      </c>
      <c r="B100" s="4" t="s">
        <v>139</v>
      </c>
      <c r="C100" s="5" t="s">
        <v>35</v>
      </c>
      <c r="D100" s="4" t="s">
        <v>27</v>
      </c>
      <c r="E100" s="12">
        <v>2</v>
      </c>
      <c r="F100" s="4" t="s">
        <v>20</v>
      </c>
      <c r="G100" s="12">
        <v>4</v>
      </c>
      <c r="H100" s="12">
        <v>6</v>
      </c>
      <c r="I100" s="12">
        <v>6</v>
      </c>
      <c r="J100" s="12">
        <v>6</v>
      </c>
      <c r="K100" s="4">
        <v>2</v>
      </c>
      <c r="L100" s="4">
        <v>4</v>
      </c>
      <c r="M100" s="4">
        <v>5</v>
      </c>
      <c r="N100" s="4">
        <v>5</v>
      </c>
      <c r="O100" s="4" t="s">
        <v>55</v>
      </c>
      <c r="P100" s="4" t="s">
        <v>43</v>
      </c>
      <c r="Q100" s="4" t="s">
        <v>20</v>
      </c>
      <c r="R100" s="4" t="s">
        <v>305</v>
      </c>
    </row>
    <row r="101" spans="1:18" ht="13.2" x14ac:dyDescent="0.25">
      <c r="A101" s="3">
        <v>44555.761264293978</v>
      </c>
      <c r="B101" s="4" t="s">
        <v>41</v>
      </c>
      <c r="C101" s="4" t="s">
        <v>42</v>
      </c>
      <c r="D101" s="4" t="s">
        <v>27</v>
      </c>
      <c r="E101" s="12">
        <v>2</v>
      </c>
      <c r="F101" s="4" t="s">
        <v>20</v>
      </c>
      <c r="G101" s="12">
        <v>7</v>
      </c>
      <c r="H101" s="12">
        <v>7</v>
      </c>
      <c r="I101" s="12">
        <v>6</v>
      </c>
      <c r="J101" s="12">
        <v>6</v>
      </c>
      <c r="K101" s="4">
        <v>10</v>
      </c>
      <c r="L101" s="4">
        <v>10</v>
      </c>
      <c r="M101" s="4">
        <v>5</v>
      </c>
      <c r="N101" s="4">
        <v>5</v>
      </c>
      <c r="O101" s="4" t="s">
        <v>28</v>
      </c>
      <c r="P101" s="4" t="s">
        <v>20</v>
      </c>
      <c r="Q101" s="4" t="s">
        <v>43</v>
      </c>
      <c r="R101" s="4" t="s">
        <v>305</v>
      </c>
    </row>
    <row r="102" spans="1:18" ht="13.2" x14ac:dyDescent="0.25">
      <c r="O102" s="2"/>
    </row>
    <row r="103" spans="1:18" ht="13.2" x14ac:dyDescent="0.25">
      <c r="O103" s="2"/>
    </row>
    <row r="104" spans="1:18" ht="13.2" x14ac:dyDescent="0.25">
      <c r="O104" s="2"/>
    </row>
    <row r="105" spans="1:18" s="20" customFormat="1" ht="13.2" x14ac:dyDescent="0.25">
      <c r="A105" s="20" t="s">
        <v>294</v>
      </c>
      <c r="E105" s="20">
        <f>AVERAGE(E2:E101)</f>
        <v>2.0499999999999998</v>
      </c>
      <c r="G105" s="20">
        <f t="shared" ref="G105:N105" si="0">AVERAGE(G2:G101)</f>
        <v>6.79</v>
      </c>
      <c r="H105" s="20">
        <f t="shared" si="0"/>
        <v>5.58</v>
      </c>
      <c r="I105" s="20">
        <f t="shared" si="0"/>
        <v>5.85</v>
      </c>
      <c r="J105" s="20">
        <f t="shared" si="0"/>
        <v>5.82</v>
      </c>
      <c r="K105" s="20">
        <f>AVERAGE(K2:K101)</f>
        <v>3.4</v>
      </c>
      <c r="L105" s="20">
        <f t="shared" si="0"/>
        <v>3.58</v>
      </c>
      <c r="M105" s="20">
        <f t="shared" si="0"/>
        <v>2.69</v>
      </c>
      <c r="N105" s="20">
        <f t="shared" si="0"/>
        <v>3.63</v>
      </c>
      <c r="O105" s="37"/>
    </row>
    <row r="106" spans="1:18" s="20" customFormat="1" ht="13.2" x14ac:dyDescent="0.25">
      <c r="A106" s="20" t="s">
        <v>295</v>
      </c>
      <c r="E106" s="20" t="s">
        <v>297</v>
      </c>
      <c r="G106" s="38" t="s">
        <v>220</v>
      </c>
      <c r="H106" s="38" t="s">
        <v>219</v>
      </c>
      <c r="I106" s="38" t="s">
        <v>219</v>
      </c>
      <c r="J106" s="38" t="s">
        <v>219</v>
      </c>
      <c r="K106" s="38" t="s">
        <v>217</v>
      </c>
      <c r="L106" s="38" t="s">
        <v>217</v>
      </c>
      <c r="M106" s="20">
        <v>3</v>
      </c>
      <c r="N106" s="20">
        <v>4</v>
      </c>
      <c r="O106" s="37"/>
    </row>
    <row r="107" spans="1:18" ht="13.2" x14ac:dyDescent="0.25">
      <c r="O107" s="2"/>
    </row>
    <row r="108" spans="1:18" ht="13.2" x14ac:dyDescent="0.25">
      <c r="C108" s="39"/>
      <c r="N108" s="2"/>
    </row>
    <row r="109" spans="1:18" ht="13.2" x14ac:dyDescent="0.25">
      <c r="N109" s="2"/>
    </row>
    <row r="110" spans="1:18" ht="13.2" x14ac:dyDescent="0.25">
      <c r="N110" s="2"/>
    </row>
    <row r="111" spans="1:18" ht="13.2" x14ac:dyDescent="0.25">
      <c r="N111" s="2"/>
    </row>
    <row r="112" spans="1:18" ht="13.2" x14ac:dyDescent="0.25">
      <c r="N112" s="2"/>
    </row>
    <row r="113" spans="14:15" ht="13.2" x14ac:dyDescent="0.25">
      <c r="N113" s="2"/>
    </row>
    <row r="114" spans="14:15" ht="13.2" x14ac:dyDescent="0.25">
      <c r="N114" s="2"/>
    </row>
    <row r="115" spans="14:15" ht="13.2" x14ac:dyDescent="0.25">
      <c r="N115" s="2"/>
    </row>
    <row r="116" spans="14:15" ht="13.2" x14ac:dyDescent="0.25">
      <c r="N116" s="2"/>
    </row>
    <row r="117" spans="14:15" ht="13.2" x14ac:dyDescent="0.25">
      <c r="N117" s="2"/>
    </row>
    <row r="118" spans="14:15" ht="13.2" x14ac:dyDescent="0.25">
      <c r="N118" s="2"/>
    </row>
    <row r="119" spans="14:15" ht="13.2" x14ac:dyDescent="0.25">
      <c r="O119" s="2"/>
    </row>
    <row r="120" spans="14:15" ht="13.2" x14ac:dyDescent="0.25">
      <c r="O120" s="2"/>
    </row>
    <row r="121" spans="14:15" ht="13.2" x14ac:dyDescent="0.25">
      <c r="O121" s="2"/>
    </row>
    <row r="122" spans="14:15" ht="13.2" x14ac:dyDescent="0.25">
      <c r="O122" s="2"/>
    </row>
    <row r="123" spans="14:15" ht="13.2" x14ac:dyDescent="0.25">
      <c r="O123" s="2"/>
    </row>
    <row r="124" spans="14:15" ht="13.2" x14ac:dyDescent="0.25">
      <c r="O124" s="2"/>
    </row>
    <row r="125" spans="14:15" ht="13.2" x14ac:dyDescent="0.25">
      <c r="O125" s="2"/>
    </row>
    <row r="126" spans="14:15" ht="13.2" x14ac:dyDescent="0.25">
      <c r="O126" s="2"/>
    </row>
    <row r="127" spans="14:15" ht="13.2" x14ac:dyDescent="0.25">
      <c r="O127" s="2"/>
    </row>
    <row r="128" spans="14:15" ht="13.2" x14ac:dyDescent="0.25">
      <c r="O128" s="2"/>
    </row>
    <row r="129" spans="15:15" ht="13.2" x14ac:dyDescent="0.25">
      <c r="O129" s="2"/>
    </row>
    <row r="130" spans="15:15" ht="13.2" x14ac:dyDescent="0.25">
      <c r="O130" s="2"/>
    </row>
    <row r="131" spans="15:15" ht="13.2" x14ac:dyDescent="0.25">
      <c r="O131" s="2"/>
    </row>
    <row r="132" spans="15:15" ht="13.2" x14ac:dyDescent="0.25">
      <c r="O132" s="2"/>
    </row>
    <row r="133" spans="15:15" ht="13.2" x14ac:dyDescent="0.25">
      <c r="O133" s="2"/>
    </row>
    <row r="134" spans="15:15" ht="13.2" x14ac:dyDescent="0.25">
      <c r="O134" s="2"/>
    </row>
    <row r="135" spans="15:15" ht="13.2" x14ac:dyDescent="0.25">
      <c r="O135" s="2"/>
    </row>
    <row r="136" spans="15:15" ht="13.2" x14ac:dyDescent="0.25">
      <c r="O136" s="2"/>
    </row>
    <row r="137" spans="15:15" ht="13.2" x14ac:dyDescent="0.25">
      <c r="O137" s="2"/>
    </row>
    <row r="138" spans="15:15" ht="13.2" x14ac:dyDescent="0.25">
      <c r="O138" s="2"/>
    </row>
    <row r="139" spans="15:15" ht="13.2" x14ac:dyDescent="0.25">
      <c r="O139" s="2"/>
    </row>
    <row r="140" spans="15:15" ht="13.2" x14ac:dyDescent="0.25">
      <c r="O140" s="2"/>
    </row>
    <row r="141" spans="15:15" ht="13.2" x14ac:dyDescent="0.25">
      <c r="O141" s="2"/>
    </row>
    <row r="142" spans="15:15" ht="13.2" x14ac:dyDescent="0.25">
      <c r="O142" s="2"/>
    </row>
    <row r="143" spans="15:15" ht="13.2" x14ac:dyDescent="0.25">
      <c r="O143" s="2"/>
    </row>
    <row r="144" spans="15:15" ht="13.2" x14ac:dyDescent="0.25">
      <c r="O144" s="2"/>
    </row>
    <row r="145" spans="15:15" ht="13.2" x14ac:dyDescent="0.25">
      <c r="O145" s="2"/>
    </row>
    <row r="146" spans="15:15" ht="13.2" x14ac:dyDescent="0.25">
      <c r="O146" s="2"/>
    </row>
    <row r="147" spans="15:15" ht="13.2" x14ac:dyDescent="0.25">
      <c r="O147" s="2"/>
    </row>
    <row r="148" spans="15:15" ht="13.2" x14ac:dyDescent="0.25">
      <c r="O148" s="2"/>
    </row>
    <row r="149" spans="15:15" ht="13.2" x14ac:dyDescent="0.25">
      <c r="O149" s="2"/>
    </row>
    <row r="150" spans="15:15" ht="13.2" x14ac:dyDescent="0.25">
      <c r="O150" s="2"/>
    </row>
    <row r="151" spans="15:15" ht="13.2" x14ac:dyDescent="0.25">
      <c r="O151" s="2"/>
    </row>
    <row r="152" spans="15:15" ht="13.2" x14ac:dyDescent="0.25">
      <c r="O152" s="2"/>
    </row>
    <row r="153" spans="15:15" ht="13.2" x14ac:dyDescent="0.25">
      <c r="O153" s="2"/>
    </row>
    <row r="154" spans="15:15" ht="13.2" x14ac:dyDescent="0.25">
      <c r="O154" s="2"/>
    </row>
    <row r="155" spans="15:15" ht="13.2" x14ac:dyDescent="0.25">
      <c r="O155" s="2"/>
    </row>
    <row r="156" spans="15:15" ht="13.2" x14ac:dyDescent="0.25">
      <c r="O156" s="2"/>
    </row>
    <row r="157" spans="15:15" ht="13.2" x14ac:dyDescent="0.25">
      <c r="O157" s="2"/>
    </row>
    <row r="158" spans="15:15" ht="13.2" x14ac:dyDescent="0.25">
      <c r="O158" s="2"/>
    </row>
    <row r="159" spans="15:15" ht="13.2" x14ac:dyDescent="0.25">
      <c r="O159" s="2"/>
    </row>
    <row r="160" spans="15:15" ht="13.2" x14ac:dyDescent="0.25">
      <c r="O160" s="2"/>
    </row>
    <row r="161" spans="15:15" ht="13.2" x14ac:dyDescent="0.25">
      <c r="O161" s="2"/>
    </row>
    <row r="162" spans="15:15" ht="13.2" x14ac:dyDescent="0.25">
      <c r="O162" s="2"/>
    </row>
    <row r="163" spans="15:15" ht="13.2" x14ac:dyDescent="0.25">
      <c r="O163" s="2"/>
    </row>
    <row r="164" spans="15:15" ht="13.2" x14ac:dyDescent="0.25">
      <c r="O164" s="2"/>
    </row>
    <row r="165" spans="15:15" ht="13.2" x14ac:dyDescent="0.25">
      <c r="O165" s="2"/>
    </row>
    <row r="166" spans="15:15" ht="13.2" x14ac:dyDescent="0.25">
      <c r="O166" s="2"/>
    </row>
    <row r="167" spans="15:15" ht="13.2" x14ac:dyDescent="0.25">
      <c r="O167" s="2"/>
    </row>
    <row r="168" spans="15:15" ht="13.2" x14ac:dyDescent="0.25">
      <c r="O168" s="2"/>
    </row>
    <row r="169" spans="15:15" ht="13.2" x14ac:dyDescent="0.25">
      <c r="O169" s="2"/>
    </row>
    <row r="170" spans="15:15" ht="13.2" x14ac:dyDescent="0.25">
      <c r="O170" s="2"/>
    </row>
    <row r="171" spans="15:15" ht="13.2" x14ac:dyDescent="0.25">
      <c r="O171" s="2"/>
    </row>
    <row r="172" spans="15:15" ht="13.2" x14ac:dyDescent="0.25">
      <c r="O172" s="2"/>
    </row>
    <row r="173" spans="15:15" ht="13.2" x14ac:dyDescent="0.25">
      <c r="O173" s="2"/>
    </row>
    <row r="174" spans="15:15" ht="13.2" x14ac:dyDescent="0.25">
      <c r="O174" s="2"/>
    </row>
    <row r="175" spans="15:15" ht="13.2" x14ac:dyDescent="0.25">
      <c r="O175" s="2"/>
    </row>
    <row r="176" spans="15:15" ht="13.2" x14ac:dyDescent="0.25">
      <c r="O176" s="2"/>
    </row>
    <row r="177" spans="15:15" ht="13.2" x14ac:dyDescent="0.25">
      <c r="O177" s="2"/>
    </row>
    <row r="178" spans="15:15" ht="13.2" x14ac:dyDescent="0.25">
      <c r="O178" s="2"/>
    </row>
    <row r="179" spans="15:15" ht="13.2" x14ac:dyDescent="0.25">
      <c r="O179" s="2"/>
    </row>
    <row r="180" spans="15:15" ht="13.2" x14ac:dyDescent="0.25">
      <c r="O180" s="2"/>
    </row>
    <row r="181" spans="15:15" ht="13.2" x14ac:dyDescent="0.25">
      <c r="O181" s="2"/>
    </row>
    <row r="182" spans="15:15" ht="13.2" x14ac:dyDescent="0.25">
      <c r="O182" s="2"/>
    </row>
    <row r="183" spans="15:15" ht="13.2" x14ac:dyDescent="0.25">
      <c r="O183" s="2"/>
    </row>
    <row r="184" spans="15:15" ht="13.2" x14ac:dyDescent="0.25">
      <c r="O184" s="2"/>
    </row>
    <row r="185" spans="15:15" ht="13.2" x14ac:dyDescent="0.25">
      <c r="O185" s="2"/>
    </row>
    <row r="186" spans="15:15" ht="13.2" x14ac:dyDescent="0.25">
      <c r="O186" s="2"/>
    </row>
    <row r="187" spans="15:15" ht="13.2" x14ac:dyDescent="0.25">
      <c r="O187" s="2"/>
    </row>
    <row r="188" spans="15:15" ht="13.2" x14ac:dyDescent="0.25">
      <c r="O188" s="2"/>
    </row>
    <row r="189" spans="15:15" ht="13.2" x14ac:dyDescent="0.25">
      <c r="O189" s="2"/>
    </row>
    <row r="190" spans="15:15" ht="13.2" x14ac:dyDescent="0.25">
      <c r="O190" s="2"/>
    </row>
    <row r="191" spans="15:15" ht="13.2" x14ac:dyDescent="0.25">
      <c r="O191" s="2"/>
    </row>
    <row r="192" spans="15:15" ht="13.2" x14ac:dyDescent="0.25">
      <c r="O192" s="2"/>
    </row>
    <row r="193" spans="15:15" ht="13.2" x14ac:dyDescent="0.25">
      <c r="O193" s="2"/>
    </row>
    <row r="194" spans="15:15" ht="13.2" x14ac:dyDescent="0.25">
      <c r="O194" s="2"/>
    </row>
    <row r="195" spans="15:15" ht="13.2" x14ac:dyDescent="0.25">
      <c r="O195" s="2"/>
    </row>
    <row r="196" spans="15:15" ht="13.2" x14ac:dyDescent="0.25">
      <c r="O196" s="2"/>
    </row>
    <row r="197" spans="15:15" ht="13.2" x14ac:dyDescent="0.25">
      <c r="O197" s="2"/>
    </row>
    <row r="198" spans="15:15" ht="13.2" x14ac:dyDescent="0.25">
      <c r="O198" s="2"/>
    </row>
    <row r="199" spans="15:15" ht="13.2" x14ac:dyDescent="0.25">
      <c r="O199" s="2"/>
    </row>
    <row r="200" spans="15:15" ht="13.2" x14ac:dyDescent="0.25">
      <c r="O200" s="2"/>
    </row>
    <row r="201" spans="15:15" ht="13.2" x14ac:dyDescent="0.25">
      <c r="O201" s="2"/>
    </row>
  </sheetData>
  <sortState xmlns:xlrd2="http://schemas.microsoft.com/office/spreadsheetml/2017/richdata2" ref="A2:R205">
    <sortCondition ref="N1:N205"/>
  </sortState>
  <hyperlinks>
    <hyperlink ref="C87" r:id="rId1" xr:uid="{00000000-0004-0000-0000-000000000000}"/>
    <hyperlink ref="C56" r:id="rId2" xr:uid="{00000000-0004-0000-0000-000001000000}"/>
    <hyperlink ref="C57" r:id="rId3" xr:uid="{00000000-0004-0000-0000-000002000000}"/>
    <hyperlink ref="C31" r:id="rId4" xr:uid="{00000000-0004-0000-0000-000003000000}"/>
    <hyperlink ref="C43" r:id="rId5" xr:uid="{00000000-0004-0000-0000-000004000000}"/>
    <hyperlink ref="C68" r:id="rId6" xr:uid="{00000000-0004-0000-0000-000005000000}"/>
    <hyperlink ref="C21" r:id="rId7" xr:uid="{00000000-0004-0000-0000-000006000000}"/>
  </hyperlink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2187-0AF5-49A7-9362-893095AE21B8}">
  <dimension ref="A1:H37"/>
  <sheetViews>
    <sheetView workbookViewId="0">
      <selection activeCell="A29" sqref="A29:C37"/>
    </sheetView>
  </sheetViews>
  <sheetFormatPr defaultRowHeight="13.2" x14ac:dyDescent="0.25"/>
  <cols>
    <col min="1" max="1" width="24.6640625" customWidth="1"/>
    <col min="2" max="2" width="29.5546875" customWidth="1"/>
    <col min="3" max="3" width="23.109375" customWidth="1"/>
    <col min="7" max="7" width="23.21875" customWidth="1"/>
  </cols>
  <sheetData>
    <row r="1" spans="1:8" x14ac:dyDescent="0.25">
      <c r="A1" t="s">
        <v>236</v>
      </c>
    </row>
    <row r="2" spans="1:8" ht="13.8" thickBot="1" x14ac:dyDescent="0.3"/>
    <row r="3" spans="1:8" s="13" customFormat="1" ht="52.8" x14ac:dyDescent="0.25">
      <c r="A3" s="25"/>
      <c r="B3" s="25" t="s">
        <v>6</v>
      </c>
      <c r="C3" s="25" t="s">
        <v>7</v>
      </c>
    </row>
    <row r="4" spans="1:8" x14ac:dyDescent="0.25">
      <c r="A4" s="23" t="s">
        <v>237</v>
      </c>
      <c r="B4" s="23">
        <v>6.79</v>
      </c>
      <c r="C4" s="23">
        <v>5.58</v>
      </c>
      <c r="G4" s="13" t="s">
        <v>248</v>
      </c>
      <c r="H4">
        <f>B4-C4</f>
        <v>1.21</v>
      </c>
    </row>
    <row r="5" spans="1:8" x14ac:dyDescent="0.25">
      <c r="A5" s="23" t="s">
        <v>238</v>
      </c>
      <c r="B5" s="23">
        <v>2.6928282828282843</v>
      </c>
      <c r="C5" s="23">
        <v>1.801616161616163</v>
      </c>
      <c r="G5" t="s">
        <v>249</v>
      </c>
      <c r="H5">
        <f>SQRT(B5)-SQRT(C5)</f>
        <v>0.29874097817206646</v>
      </c>
    </row>
    <row r="6" spans="1:8" x14ac:dyDescent="0.25">
      <c r="A6" s="23" t="s">
        <v>239</v>
      </c>
      <c r="B6" s="23">
        <v>100</v>
      </c>
      <c r="C6" s="23">
        <v>100</v>
      </c>
      <c r="G6" t="s">
        <v>250</v>
      </c>
      <c r="H6">
        <f>H5/SQRT(100)</f>
        <v>2.9874097817206645E-2</v>
      </c>
    </row>
    <row r="7" spans="1:8" ht="18" x14ac:dyDescent="0.35">
      <c r="A7" s="23" t="s">
        <v>240</v>
      </c>
      <c r="B7" s="23">
        <v>0.51903785143732828</v>
      </c>
      <c r="C7" s="23"/>
      <c r="G7" s="27" t="s">
        <v>251</v>
      </c>
      <c r="H7">
        <v>1.98421</v>
      </c>
    </row>
    <row r="8" spans="1:8" ht="26.4" x14ac:dyDescent="0.25">
      <c r="A8" s="26" t="s">
        <v>241</v>
      </c>
      <c r="B8" s="23">
        <v>0</v>
      </c>
      <c r="C8" s="23"/>
      <c r="G8" s="27" t="s">
        <v>252</v>
      </c>
      <c r="H8">
        <f>H4-H6*H7</f>
        <v>1.1507235163701204</v>
      </c>
    </row>
    <row r="9" spans="1:8" x14ac:dyDescent="0.25">
      <c r="A9" s="23" t="s">
        <v>242</v>
      </c>
      <c r="B9" s="23">
        <v>99</v>
      </c>
      <c r="C9" s="23"/>
      <c r="G9" s="27" t="s">
        <v>253</v>
      </c>
      <c r="H9">
        <f>H4+H6*H7</f>
        <v>1.2692764836298795</v>
      </c>
    </row>
    <row r="10" spans="1:8" x14ac:dyDescent="0.25">
      <c r="A10" s="23" t="s">
        <v>243</v>
      </c>
      <c r="B10" s="23">
        <v>8.1430635210550353</v>
      </c>
      <c r="C10" s="23"/>
    </row>
    <row r="11" spans="1:8" x14ac:dyDescent="0.25">
      <c r="A11" s="23" t="s">
        <v>244</v>
      </c>
      <c r="B11" s="23">
        <v>5.9204751645178577E-13</v>
      </c>
      <c r="C11" s="23"/>
    </row>
    <row r="12" spans="1:8" x14ac:dyDescent="0.25">
      <c r="A12" s="23" t="s">
        <v>245</v>
      </c>
      <c r="B12" s="23">
        <v>1.6603911560169928</v>
      </c>
      <c r="C12" s="23"/>
    </row>
    <row r="13" spans="1:8" x14ac:dyDescent="0.25">
      <c r="A13" s="23" t="s">
        <v>246</v>
      </c>
      <c r="B13" s="23">
        <v>1.1840950329035715E-12</v>
      </c>
      <c r="C13" s="23"/>
    </row>
    <row r="14" spans="1:8" ht="13.8" thickBot="1" x14ac:dyDescent="0.3">
      <c r="A14" s="24" t="s">
        <v>247</v>
      </c>
      <c r="B14" s="24">
        <v>1.9842169515864165</v>
      </c>
      <c r="C14" s="24"/>
    </row>
    <row r="17" spans="1:3" ht="41.4" x14ac:dyDescent="0.4">
      <c r="B17" s="13" t="s">
        <v>273</v>
      </c>
      <c r="C17" s="28" t="s">
        <v>255</v>
      </c>
    </row>
    <row r="18" spans="1:3" ht="18" x14ac:dyDescent="0.35">
      <c r="B18" t="s">
        <v>254</v>
      </c>
      <c r="C18" s="29" t="s">
        <v>256</v>
      </c>
    </row>
    <row r="20" spans="1:3" x14ac:dyDescent="0.25">
      <c r="A20" t="s">
        <v>284</v>
      </c>
      <c r="B20" t="s">
        <v>298</v>
      </c>
    </row>
    <row r="21" spans="1:3" x14ac:dyDescent="0.25">
      <c r="B21" t="s">
        <v>299</v>
      </c>
    </row>
    <row r="22" spans="1:3" x14ac:dyDescent="0.25">
      <c r="B22" t="s">
        <v>300</v>
      </c>
    </row>
    <row r="29" spans="1:3" x14ac:dyDescent="0.25">
      <c r="A29" t="s">
        <v>236</v>
      </c>
    </row>
    <row r="30" spans="1:3" ht="13.8" thickBot="1" x14ac:dyDescent="0.3"/>
    <row r="31" spans="1:3" ht="52.8" x14ac:dyDescent="0.25">
      <c r="A31" s="25"/>
      <c r="B31" s="25" t="s">
        <v>6</v>
      </c>
      <c r="C31" s="25" t="s">
        <v>7</v>
      </c>
    </row>
    <row r="32" spans="1:3" x14ac:dyDescent="0.25">
      <c r="A32" s="23" t="s">
        <v>237</v>
      </c>
      <c r="B32" s="23">
        <v>6.79</v>
      </c>
      <c r="C32" s="23">
        <v>5.58</v>
      </c>
    </row>
    <row r="33" spans="1:3" x14ac:dyDescent="0.25">
      <c r="A33" s="23" t="s">
        <v>238</v>
      </c>
      <c r="B33" s="23">
        <v>2.6928282828282843</v>
      </c>
      <c r="C33" s="23">
        <v>1.801616161616163</v>
      </c>
    </row>
    <row r="34" spans="1:3" x14ac:dyDescent="0.25">
      <c r="A34" s="23" t="s">
        <v>239</v>
      </c>
      <c r="B34" s="23">
        <v>100</v>
      </c>
      <c r="C34" s="23">
        <v>100</v>
      </c>
    </row>
    <row r="35" spans="1:3" x14ac:dyDescent="0.25">
      <c r="A35" s="23" t="s">
        <v>243</v>
      </c>
      <c r="B35" s="23">
        <v>8.1430635210550353</v>
      </c>
    </row>
    <row r="36" spans="1:3" x14ac:dyDescent="0.25">
      <c r="A36" s="23" t="s">
        <v>246</v>
      </c>
      <c r="B36" s="23">
        <v>1.1840950329035715E-12</v>
      </c>
    </row>
    <row r="37" spans="1:3" ht="13.8" thickBot="1" x14ac:dyDescent="0.3">
      <c r="A37" s="24" t="s">
        <v>247</v>
      </c>
      <c r="B37" s="24">
        <v>1.9842169515864165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0"/>
  <sheetViews>
    <sheetView tabSelected="1" topLeftCell="G1" zoomScale="85" zoomScaleNormal="85" workbookViewId="0">
      <selection activeCell="L84" sqref="L84"/>
    </sheetView>
  </sheetViews>
  <sheetFormatPr defaultColWidth="14.44140625" defaultRowHeight="15.75" customHeight="1" x14ac:dyDescent="0.25"/>
  <cols>
    <col min="1" max="1" width="16.109375" customWidth="1"/>
    <col min="10" max="10" width="17.21875" customWidth="1"/>
  </cols>
  <sheetData>
    <row r="1" spans="1:1" ht="15.75" customHeight="1" x14ac:dyDescent="0.25">
      <c r="A1" t="s">
        <v>213</v>
      </c>
    </row>
    <row r="2" spans="1:1" ht="15.75" customHeight="1" x14ac:dyDescent="0.25">
      <c r="A2" t="s">
        <v>203</v>
      </c>
    </row>
    <row r="3" spans="1:1" ht="15.75" customHeight="1" x14ac:dyDescent="0.25">
      <c r="A3" t="s">
        <v>201</v>
      </c>
    </row>
    <row r="4" spans="1:1" ht="15.75" customHeight="1" x14ac:dyDescent="0.25">
      <c r="A4" t="s">
        <v>202</v>
      </c>
    </row>
    <row r="5" spans="1:1" ht="15.75" customHeight="1" x14ac:dyDescent="0.25">
      <c r="A5" t="s">
        <v>296</v>
      </c>
    </row>
    <row r="6" spans="1:1" ht="15.75" customHeight="1" x14ac:dyDescent="0.25">
      <c r="A6" t="s">
        <v>204</v>
      </c>
    </row>
    <row r="7" spans="1:1" ht="15.75" customHeight="1" x14ac:dyDescent="0.25">
      <c r="A7" t="s">
        <v>205</v>
      </c>
    </row>
    <row r="8" spans="1:1" ht="15.75" customHeight="1" x14ac:dyDescent="0.25">
      <c r="A8" t="s">
        <v>206</v>
      </c>
    </row>
    <row r="9" spans="1:1" ht="15.75" customHeight="1" x14ac:dyDescent="0.25">
      <c r="A9" s="17" t="s">
        <v>207</v>
      </c>
    </row>
    <row r="10" spans="1:1" ht="15.75" customHeight="1" x14ac:dyDescent="0.25">
      <c r="A10" t="s">
        <v>208</v>
      </c>
    </row>
    <row r="11" spans="1:1" ht="15.75" customHeight="1" x14ac:dyDescent="0.25">
      <c r="A11" t="s">
        <v>209</v>
      </c>
    </row>
    <row r="12" spans="1:1" ht="15.75" customHeight="1" x14ac:dyDescent="0.25">
      <c r="A12" t="s">
        <v>210</v>
      </c>
    </row>
    <row r="13" spans="1:1" ht="15.75" customHeight="1" x14ac:dyDescent="0.25">
      <c r="A13" t="s">
        <v>211</v>
      </c>
    </row>
    <row r="14" spans="1:1" ht="15.75" customHeight="1" x14ac:dyDescent="0.25">
      <c r="A14" t="s">
        <v>212</v>
      </c>
    </row>
    <row r="37" spans="5:9" ht="13.2" x14ac:dyDescent="0.25">
      <c r="E37" s="8"/>
    </row>
    <row r="38" spans="5:9" ht="15" x14ac:dyDescent="0.25">
      <c r="H38" s="9"/>
      <c r="I38" s="10"/>
    </row>
    <row r="57" spans="8:10" ht="15.75" customHeight="1" x14ac:dyDescent="0.25">
      <c r="H57" s="14"/>
    </row>
    <row r="64" spans="8:10" ht="15.75" customHeight="1" x14ac:dyDescent="0.3">
      <c r="J64" s="11"/>
    </row>
    <row r="68" spans="1:21" ht="15.75" customHeight="1" x14ac:dyDescent="0.25">
      <c r="S68">
        <v>54</v>
      </c>
      <c r="T68">
        <v>47</v>
      </c>
      <c r="U68">
        <v>101</v>
      </c>
    </row>
    <row r="69" spans="1:21" ht="15.75" customHeight="1" x14ac:dyDescent="0.25">
      <c r="S69">
        <v>30</v>
      </c>
      <c r="T69">
        <v>34</v>
      </c>
      <c r="U69">
        <v>64</v>
      </c>
    </row>
    <row r="70" spans="1:21" ht="15.75" customHeight="1" x14ac:dyDescent="0.25">
      <c r="S70">
        <v>11</v>
      </c>
      <c r="T70">
        <v>14</v>
      </c>
      <c r="U70">
        <v>25</v>
      </c>
    </row>
    <row r="71" spans="1:21" ht="15.75" customHeight="1" x14ac:dyDescent="0.25">
      <c r="J71" s="20" t="s">
        <v>229</v>
      </c>
      <c r="K71" s="20" t="s">
        <v>214</v>
      </c>
      <c r="L71" s="20" t="s">
        <v>215</v>
      </c>
      <c r="M71" s="20" t="s">
        <v>225</v>
      </c>
      <c r="S71">
        <v>2</v>
      </c>
      <c r="T71">
        <v>3</v>
      </c>
      <c r="U71">
        <v>5</v>
      </c>
    </row>
    <row r="72" spans="1:21" ht="15.75" customHeight="1" x14ac:dyDescent="0.25">
      <c r="A72" s="18" t="s">
        <v>216</v>
      </c>
      <c r="B72" s="18" t="s">
        <v>214</v>
      </c>
      <c r="C72" s="18" t="s">
        <v>215</v>
      </c>
      <c r="D72" s="18" t="s">
        <v>225</v>
      </c>
      <c r="J72" s="15" t="s">
        <v>231</v>
      </c>
      <c r="K72" s="42">
        <v>0.54</v>
      </c>
      <c r="L72" s="42">
        <v>0.47</v>
      </c>
      <c r="M72" s="42">
        <v>1.01</v>
      </c>
      <c r="S72">
        <v>3</v>
      </c>
      <c r="T72">
        <v>2</v>
      </c>
      <c r="U72">
        <v>5</v>
      </c>
    </row>
    <row r="73" spans="1:21" ht="15.75" customHeight="1" x14ac:dyDescent="0.25">
      <c r="A73" s="16" t="s">
        <v>217</v>
      </c>
      <c r="B73" s="42">
        <v>0.08</v>
      </c>
      <c r="C73" s="42">
        <v>0.21</v>
      </c>
      <c r="D73" s="42">
        <f t="shared" ref="D73:D81" si="0">SUM(B73:C73)</f>
        <v>0.28999999999999998</v>
      </c>
      <c r="J73" s="22" t="s">
        <v>232</v>
      </c>
      <c r="K73" s="45">
        <v>0.3</v>
      </c>
      <c r="L73" s="45">
        <v>0.34</v>
      </c>
      <c r="M73" s="45">
        <v>0.64</v>
      </c>
    </row>
    <row r="74" spans="1:21" ht="15.75" customHeight="1" x14ac:dyDescent="0.25">
      <c r="A74" s="18" t="s">
        <v>218</v>
      </c>
      <c r="B74" s="43">
        <v>0.13</v>
      </c>
      <c r="C74" s="43">
        <v>0.34</v>
      </c>
      <c r="D74" s="43">
        <f t="shared" si="0"/>
        <v>0.47000000000000003</v>
      </c>
      <c r="J74" s="15" t="s">
        <v>233</v>
      </c>
      <c r="K74" s="42">
        <v>0.11</v>
      </c>
      <c r="L74" s="42">
        <v>0.14000000000000001</v>
      </c>
      <c r="M74" s="42">
        <v>0.25</v>
      </c>
    </row>
    <row r="75" spans="1:21" ht="15.75" customHeight="1" x14ac:dyDescent="0.25">
      <c r="A75" s="16" t="s">
        <v>219</v>
      </c>
      <c r="B75" s="42">
        <v>0.25</v>
      </c>
      <c r="C75" s="42">
        <v>0.25</v>
      </c>
      <c r="D75" s="42">
        <f t="shared" si="0"/>
        <v>0.5</v>
      </c>
      <c r="J75" s="22" t="s">
        <v>234</v>
      </c>
      <c r="K75" s="45">
        <v>0.02</v>
      </c>
      <c r="L75" s="45">
        <v>0.03</v>
      </c>
      <c r="M75" s="45">
        <v>0.05</v>
      </c>
    </row>
    <row r="76" spans="1:21" ht="15.75" customHeight="1" x14ac:dyDescent="0.25">
      <c r="A76" s="18" t="s">
        <v>220</v>
      </c>
      <c r="B76" s="43">
        <v>0.24</v>
      </c>
      <c r="C76" s="43">
        <v>0.13</v>
      </c>
      <c r="D76" s="43">
        <f t="shared" si="0"/>
        <v>0.37</v>
      </c>
      <c r="J76" s="15" t="s">
        <v>235</v>
      </c>
      <c r="K76" s="42">
        <v>0.03</v>
      </c>
      <c r="L76" s="42">
        <v>0.02</v>
      </c>
      <c r="M76" s="42">
        <v>0.05</v>
      </c>
    </row>
    <row r="77" spans="1:21" ht="15.75" customHeight="1" x14ac:dyDescent="0.25">
      <c r="A77" s="16" t="s">
        <v>221</v>
      </c>
      <c r="B77" s="42">
        <v>0.14000000000000001</v>
      </c>
      <c r="C77" s="42">
        <v>0.01</v>
      </c>
      <c r="D77" s="42">
        <f t="shared" si="0"/>
        <v>0.15000000000000002</v>
      </c>
      <c r="J77" s="20" t="s">
        <v>225</v>
      </c>
      <c r="K77" s="45">
        <f>SUM(K72:K76)</f>
        <v>1</v>
      </c>
      <c r="L77" s="45">
        <f>SUM(L72:L76)</f>
        <v>1</v>
      </c>
      <c r="M77" s="45">
        <f>SUM(K77:L77)</f>
        <v>2</v>
      </c>
    </row>
    <row r="78" spans="1:21" ht="15.75" customHeight="1" x14ac:dyDescent="0.25">
      <c r="A78" s="18" t="s">
        <v>222</v>
      </c>
      <c r="B78" s="43">
        <v>0.1</v>
      </c>
      <c r="C78" s="43">
        <v>0.05</v>
      </c>
      <c r="D78" s="43">
        <f t="shared" si="0"/>
        <v>0.15000000000000002</v>
      </c>
    </row>
    <row r="79" spans="1:21" ht="15.75" customHeight="1" x14ac:dyDescent="0.25">
      <c r="A79" s="16" t="s">
        <v>223</v>
      </c>
      <c r="B79" s="42">
        <v>0.04</v>
      </c>
      <c r="C79" s="42">
        <v>0.01</v>
      </c>
      <c r="D79" s="42">
        <f t="shared" si="0"/>
        <v>0.05</v>
      </c>
    </row>
    <row r="80" spans="1:21" ht="15.75" customHeight="1" x14ac:dyDescent="0.25">
      <c r="A80" s="18" t="s">
        <v>224</v>
      </c>
      <c r="B80" s="43">
        <v>0.02</v>
      </c>
      <c r="C80" s="43">
        <v>0</v>
      </c>
      <c r="D80" s="43">
        <f t="shared" si="0"/>
        <v>0.02</v>
      </c>
    </row>
    <row r="81" spans="1:21" ht="15.75" customHeight="1" x14ac:dyDescent="0.25">
      <c r="A81" s="16" t="s">
        <v>225</v>
      </c>
      <c r="B81" s="42">
        <f>SUM(B73:B80)</f>
        <v>1</v>
      </c>
      <c r="C81" s="42">
        <f>SUM(C73:C80)</f>
        <v>1</v>
      </c>
      <c r="D81" s="42">
        <f t="shared" si="0"/>
        <v>2</v>
      </c>
    </row>
    <row r="82" spans="1:21" ht="15.75" customHeight="1" x14ac:dyDescent="0.25">
      <c r="A82" s="16"/>
    </row>
    <row r="83" spans="1:21" ht="15.75" customHeight="1" x14ac:dyDescent="0.25">
      <c r="A83" s="16"/>
      <c r="T83">
        <v>26</v>
      </c>
      <c r="U83">
        <v>11</v>
      </c>
    </row>
    <row r="84" spans="1:21" ht="15.75" customHeight="1" x14ac:dyDescent="0.25">
      <c r="J84" s="21" t="s">
        <v>230</v>
      </c>
      <c r="K84" s="21" t="s">
        <v>306</v>
      </c>
      <c r="L84" s="21" t="s">
        <v>307</v>
      </c>
      <c r="M84" s="21" t="s">
        <v>225</v>
      </c>
      <c r="T84">
        <v>18</v>
      </c>
      <c r="U84">
        <v>8</v>
      </c>
    </row>
    <row r="85" spans="1:21" ht="15.75" customHeight="1" x14ac:dyDescent="0.25">
      <c r="J85">
        <v>1</v>
      </c>
      <c r="K85" s="42">
        <v>0.26</v>
      </c>
      <c r="L85" s="42">
        <v>0.11</v>
      </c>
      <c r="M85" s="42">
        <f t="shared" ref="M85:M90" si="1">SUM(K85:L85)</f>
        <v>0.37</v>
      </c>
      <c r="T85">
        <v>28</v>
      </c>
      <c r="U85">
        <v>14</v>
      </c>
    </row>
    <row r="86" spans="1:21" ht="15.75" customHeight="1" x14ac:dyDescent="0.25">
      <c r="A86" s="19" t="s">
        <v>226</v>
      </c>
      <c r="B86" s="19" t="s">
        <v>227</v>
      </c>
      <c r="C86" s="19" t="s">
        <v>228</v>
      </c>
      <c r="D86" s="19" t="s">
        <v>225</v>
      </c>
      <c r="J86" s="21">
        <v>2</v>
      </c>
      <c r="K86" s="46">
        <v>0.18</v>
      </c>
      <c r="L86" s="46">
        <v>0.08</v>
      </c>
      <c r="M86" s="46">
        <f t="shared" si="1"/>
        <v>0.26</v>
      </c>
      <c r="T86">
        <v>17</v>
      </c>
      <c r="U86">
        <v>41</v>
      </c>
    </row>
    <row r="87" spans="1:21" ht="15.75" customHeight="1" x14ac:dyDescent="0.25">
      <c r="A87" s="17" t="s">
        <v>218</v>
      </c>
      <c r="B87" s="42">
        <v>0.39</v>
      </c>
      <c r="C87" s="42">
        <v>0.42</v>
      </c>
      <c r="D87" s="42">
        <v>0.81</v>
      </c>
      <c r="J87">
        <v>3</v>
      </c>
      <c r="K87" s="42">
        <v>0.28000000000000003</v>
      </c>
      <c r="L87" s="42">
        <v>0.14000000000000001</v>
      </c>
      <c r="M87" s="42">
        <f t="shared" si="1"/>
        <v>0.42000000000000004</v>
      </c>
      <c r="T87">
        <v>11</v>
      </c>
      <c r="U87">
        <v>26</v>
      </c>
    </row>
    <row r="88" spans="1:21" ht="15.75" customHeight="1" x14ac:dyDescent="0.25">
      <c r="A88" s="19" t="s">
        <v>219</v>
      </c>
      <c r="B88" s="44">
        <v>0.37</v>
      </c>
      <c r="C88" s="44">
        <v>0.34</v>
      </c>
      <c r="D88" s="44">
        <f>SUM(B88:C88)</f>
        <v>0.71</v>
      </c>
      <c r="J88" s="21">
        <v>4</v>
      </c>
      <c r="K88" s="46">
        <v>0.17</v>
      </c>
      <c r="L88" s="46">
        <v>0.41</v>
      </c>
      <c r="M88" s="46">
        <f t="shared" si="1"/>
        <v>0.57999999999999996</v>
      </c>
    </row>
    <row r="89" spans="1:21" ht="15.75" customHeight="1" x14ac:dyDescent="0.25">
      <c r="A89" s="17" t="s">
        <v>220</v>
      </c>
      <c r="B89" s="42">
        <v>0.24</v>
      </c>
      <c r="C89" s="42">
        <v>0.24</v>
      </c>
      <c r="D89" s="42">
        <f>SUM(B89:C89)</f>
        <v>0.48</v>
      </c>
      <c r="J89">
        <v>5</v>
      </c>
      <c r="K89" s="42">
        <v>0.11</v>
      </c>
      <c r="L89" s="42">
        <v>0.26</v>
      </c>
      <c r="M89" s="42">
        <f t="shared" si="1"/>
        <v>0.37</v>
      </c>
    </row>
    <row r="90" spans="1:21" ht="15.75" customHeight="1" x14ac:dyDescent="0.25">
      <c r="A90" s="19" t="s">
        <v>225</v>
      </c>
      <c r="B90" s="44">
        <v>1</v>
      </c>
      <c r="C90" s="44">
        <v>1</v>
      </c>
      <c r="D90" s="44">
        <f>SUM(D87:D89)</f>
        <v>2</v>
      </c>
      <c r="J90" s="21" t="s">
        <v>225</v>
      </c>
      <c r="K90" s="46">
        <f>SUM(K85:K89)</f>
        <v>1</v>
      </c>
      <c r="L90" s="46">
        <f>SUM(L85:L89)</f>
        <v>1</v>
      </c>
      <c r="M90" s="46">
        <f t="shared" si="1"/>
        <v>2</v>
      </c>
    </row>
  </sheetData>
  <phoneticPr fontId="7" type="noConversion"/>
  <pageMargins left="0.7" right="0.7" top="0.75" bottom="0.75" header="0.3" footer="0.3"/>
  <pageSetup orientation="portrait" r:id="rId1"/>
  <ignoredErrors>
    <ignoredError sqref="A79" twoDigitTextYear="1"/>
    <ignoredError sqref="M85:M8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FEC6-A275-4AD3-93C5-1F58B3EEF0A9}">
  <dimension ref="A1:M34"/>
  <sheetViews>
    <sheetView topLeftCell="A13" workbookViewId="0">
      <selection activeCell="G25" sqref="G25"/>
    </sheetView>
  </sheetViews>
  <sheetFormatPr defaultRowHeight="13.2" x14ac:dyDescent="0.25"/>
  <cols>
    <col min="1" max="1" width="17.88671875" customWidth="1"/>
    <col min="2" max="2" width="21.44140625" customWidth="1"/>
    <col min="3" max="3" width="19.77734375" customWidth="1"/>
    <col min="7" max="7" width="37.21875" customWidth="1"/>
    <col min="8" max="8" width="19.5546875" customWidth="1"/>
    <col min="9" max="9" width="20" customWidth="1"/>
  </cols>
  <sheetData>
    <row r="1" spans="1:11" s="13" customFormat="1" ht="39.6" x14ac:dyDescent="0.25">
      <c r="A1" s="25" t="s">
        <v>8</v>
      </c>
      <c r="B1" s="25"/>
      <c r="C1" s="25" t="s">
        <v>9</v>
      </c>
      <c r="D1" s="25"/>
    </row>
    <row r="2" spans="1:11" x14ac:dyDescent="0.25">
      <c r="A2" s="23"/>
      <c r="B2" s="23"/>
      <c r="C2" s="23"/>
      <c r="D2" s="23"/>
      <c r="G2" t="s">
        <v>269</v>
      </c>
    </row>
    <row r="3" spans="1:11" ht="13.8" thickBot="1" x14ac:dyDescent="0.3">
      <c r="A3" s="30" t="s">
        <v>237</v>
      </c>
      <c r="B3" s="30">
        <v>5.85</v>
      </c>
      <c r="C3" s="30" t="s">
        <v>237</v>
      </c>
      <c r="D3" s="30">
        <v>5.82</v>
      </c>
    </row>
    <row r="4" spans="1:11" ht="39.6" x14ac:dyDescent="0.25">
      <c r="A4" s="23" t="s">
        <v>257</v>
      </c>
      <c r="B4" s="23">
        <v>7.8334945180064036E-2</v>
      </c>
      <c r="C4" s="23" t="s">
        <v>257</v>
      </c>
      <c r="D4" s="23">
        <v>7.9620311098324417E-2</v>
      </c>
      <c r="F4" s="13"/>
      <c r="G4" s="25"/>
      <c r="H4" s="25" t="s">
        <v>8</v>
      </c>
      <c r="I4" s="25" t="s">
        <v>9</v>
      </c>
      <c r="J4" s="13"/>
      <c r="K4" s="13"/>
    </row>
    <row r="5" spans="1:11" x14ac:dyDescent="0.25">
      <c r="A5" s="23" t="s">
        <v>258</v>
      </c>
      <c r="B5" s="23">
        <v>6</v>
      </c>
      <c r="C5" s="23" t="s">
        <v>258</v>
      </c>
      <c r="D5" s="23">
        <v>6</v>
      </c>
      <c r="G5" s="30" t="s">
        <v>237</v>
      </c>
      <c r="H5" s="30">
        <v>5.85</v>
      </c>
      <c r="I5" s="30">
        <v>5.82</v>
      </c>
    </row>
    <row r="6" spans="1:11" x14ac:dyDescent="0.25">
      <c r="A6" s="23" t="s">
        <v>259</v>
      </c>
      <c r="B6" s="23">
        <v>5</v>
      </c>
      <c r="C6" s="23" t="s">
        <v>259</v>
      </c>
      <c r="D6" s="23">
        <v>5</v>
      </c>
      <c r="G6" s="23" t="s">
        <v>238</v>
      </c>
      <c r="H6" s="23">
        <v>0.61363636363636365</v>
      </c>
      <c r="I6" s="23">
        <v>0.63393939393939613</v>
      </c>
    </row>
    <row r="7" spans="1:11" x14ac:dyDescent="0.25">
      <c r="A7" s="30" t="s">
        <v>260</v>
      </c>
      <c r="B7" s="30">
        <v>0.78334945180064031</v>
      </c>
      <c r="C7" s="30" t="s">
        <v>260</v>
      </c>
      <c r="D7" s="30">
        <v>0.79620311098324414</v>
      </c>
      <c r="G7" s="30" t="s">
        <v>239</v>
      </c>
      <c r="H7" s="30">
        <v>100</v>
      </c>
      <c r="I7" s="30">
        <v>100</v>
      </c>
    </row>
    <row r="8" spans="1:11" x14ac:dyDescent="0.25">
      <c r="A8" s="23" t="s">
        <v>261</v>
      </c>
      <c r="B8" s="23">
        <v>0.61363636363636365</v>
      </c>
      <c r="C8" s="23" t="s">
        <v>261</v>
      </c>
      <c r="D8" s="23">
        <v>0.63393939393939613</v>
      </c>
      <c r="G8" s="23" t="s">
        <v>270</v>
      </c>
      <c r="H8" s="23">
        <v>0.62378787878787989</v>
      </c>
      <c r="I8" s="23"/>
    </row>
    <row r="9" spans="1:11" x14ac:dyDescent="0.25">
      <c r="A9" s="23" t="s">
        <v>262</v>
      </c>
      <c r="B9" s="23">
        <v>-1.3159477358462759</v>
      </c>
      <c r="C9" s="23" t="s">
        <v>262</v>
      </c>
      <c r="D9" s="23">
        <v>-1.3424389808943533</v>
      </c>
      <c r="G9" s="26" t="s">
        <v>241</v>
      </c>
      <c r="H9" s="23">
        <v>0</v>
      </c>
      <c r="I9" s="23"/>
    </row>
    <row r="10" spans="1:11" x14ac:dyDescent="0.25">
      <c r="A10" s="23" t="s">
        <v>263</v>
      </c>
      <c r="B10" s="23">
        <v>0.27178160949159719</v>
      </c>
      <c r="C10" s="23" t="s">
        <v>263</v>
      </c>
      <c r="D10" s="23">
        <v>0.33639972785603073</v>
      </c>
      <c r="G10" s="30" t="s">
        <v>242</v>
      </c>
      <c r="H10" s="30">
        <v>198</v>
      </c>
      <c r="I10" s="23"/>
    </row>
    <row r="11" spans="1:11" x14ac:dyDescent="0.25">
      <c r="A11" s="23" t="s">
        <v>264</v>
      </c>
      <c r="B11" s="23">
        <v>2</v>
      </c>
      <c r="C11" s="23" t="s">
        <v>264</v>
      </c>
      <c r="D11" s="23">
        <v>2</v>
      </c>
      <c r="G11" s="30" t="s">
        <v>243</v>
      </c>
      <c r="H11" s="30">
        <v>0.26858873338205791</v>
      </c>
      <c r="I11" s="23"/>
    </row>
    <row r="12" spans="1:11" x14ac:dyDescent="0.25">
      <c r="A12" s="23" t="s">
        <v>265</v>
      </c>
      <c r="B12" s="23">
        <v>5</v>
      </c>
      <c r="C12" s="23" t="s">
        <v>265</v>
      </c>
      <c r="D12" s="23">
        <v>5</v>
      </c>
      <c r="G12" s="30" t="s">
        <v>244</v>
      </c>
      <c r="H12" s="30">
        <v>0.39426291119803197</v>
      </c>
      <c r="I12" s="23"/>
    </row>
    <row r="13" spans="1:11" x14ac:dyDescent="0.25">
      <c r="A13" s="23" t="s">
        <v>266</v>
      </c>
      <c r="B13" s="23">
        <v>7</v>
      </c>
      <c r="C13" s="23" t="s">
        <v>266</v>
      </c>
      <c r="D13" s="23">
        <v>7</v>
      </c>
      <c r="G13" s="23" t="s">
        <v>245</v>
      </c>
      <c r="H13" s="23">
        <v>1.6525857836178461</v>
      </c>
      <c r="I13" s="23"/>
    </row>
    <row r="14" spans="1:11" x14ac:dyDescent="0.25">
      <c r="A14" s="23" t="s">
        <v>267</v>
      </c>
      <c r="B14" s="23">
        <v>585</v>
      </c>
      <c r="C14" s="23" t="s">
        <v>267</v>
      </c>
      <c r="D14" s="23">
        <v>582</v>
      </c>
      <c r="G14" s="23" t="s">
        <v>246</v>
      </c>
      <c r="H14" s="23">
        <v>0.78852582239606372</v>
      </c>
      <c r="I14" s="23"/>
    </row>
    <row r="15" spans="1:11" ht="13.8" thickBot="1" x14ac:dyDescent="0.3">
      <c r="A15" s="31" t="s">
        <v>268</v>
      </c>
      <c r="B15" s="31">
        <v>100</v>
      </c>
      <c r="C15" s="31" t="s">
        <v>268</v>
      </c>
      <c r="D15" s="31">
        <v>100</v>
      </c>
      <c r="G15" s="24" t="s">
        <v>247</v>
      </c>
      <c r="H15" s="24">
        <v>1.9720174778363073</v>
      </c>
      <c r="I15" s="24"/>
    </row>
    <row r="17" spans="1:13" x14ac:dyDescent="0.25">
      <c r="I17">
        <f>H11+H12</f>
        <v>0.66285164458008983</v>
      </c>
    </row>
    <row r="18" spans="1:13" ht="91.8" customHeight="1" x14ac:dyDescent="0.25">
      <c r="A18" s="13" t="s">
        <v>271</v>
      </c>
      <c r="B18" s="13"/>
      <c r="C18" s="13"/>
      <c r="D18" s="13"/>
      <c r="E18" s="13"/>
      <c r="F18" s="13"/>
      <c r="G18" s="32" t="s">
        <v>272</v>
      </c>
      <c r="H18" s="13"/>
      <c r="I18" s="13"/>
      <c r="J18" s="13"/>
      <c r="K18" s="13"/>
      <c r="L18" s="13"/>
      <c r="M18" s="13"/>
    </row>
    <row r="26" spans="1:13" x14ac:dyDescent="0.25">
      <c r="A26" t="s">
        <v>269</v>
      </c>
    </row>
    <row r="28" spans="1:13" s="13" customFormat="1" ht="39.6" x14ac:dyDescent="0.25">
      <c r="B28" s="13" t="s">
        <v>8</v>
      </c>
      <c r="C28" s="13" t="s">
        <v>9</v>
      </c>
    </row>
    <row r="29" spans="1:13" x14ac:dyDescent="0.25">
      <c r="A29" t="s">
        <v>237</v>
      </c>
      <c r="B29">
        <v>5.85</v>
      </c>
      <c r="C29">
        <v>5.82</v>
      </c>
    </row>
    <row r="30" spans="1:13" x14ac:dyDescent="0.25">
      <c r="A30" t="s">
        <v>238</v>
      </c>
      <c r="B30">
        <v>0.61363636363636365</v>
      </c>
      <c r="C30">
        <v>0.63393939393939613</v>
      </c>
    </row>
    <row r="31" spans="1:13" x14ac:dyDescent="0.25">
      <c r="A31" t="s">
        <v>239</v>
      </c>
      <c r="B31">
        <v>100</v>
      </c>
      <c r="C31">
        <v>100</v>
      </c>
    </row>
    <row r="32" spans="1:13" x14ac:dyDescent="0.25">
      <c r="A32" t="s">
        <v>243</v>
      </c>
      <c r="B32">
        <v>0.26858873338205791</v>
      </c>
    </row>
    <row r="33" spans="1:2" x14ac:dyDescent="0.25">
      <c r="A33" s="23" t="s">
        <v>246</v>
      </c>
      <c r="B33" s="23">
        <v>0.78852582239606372</v>
      </c>
    </row>
    <row r="34" spans="1:2" ht="13.8" thickBot="1" x14ac:dyDescent="0.3">
      <c r="A34" s="24" t="s">
        <v>247</v>
      </c>
      <c r="B34" s="24">
        <v>1.9720174778363073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6A1F-B335-4447-A69D-12A7DC8F9638}">
  <dimension ref="A3:H25"/>
  <sheetViews>
    <sheetView workbookViewId="0">
      <selection activeCell="A22" sqref="A22:H25"/>
    </sheetView>
  </sheetViews>
  <sheetFormatPr defaultRowHeight="13.2" x14ac:dyDescent="0.25"/>
  <cols>
    <col min="1" max="1" width="13.33203125" bestFit="1" customWidth="1"/>
    <col min="2" max="2" width="18.109375" customWidth="1"/>
    <col min="3" max="3" width="10" customWidth="1"/>
    <col min="4" max="5" width="11.33203125" bestFit="1" customWidth="1"/>
    <col min="7" max="7" width="9.5546875" customWidth="1"/>
  </cols>
  <sheetData>
    <row r="3" spans="1:8" x14ac:dyDescent="0.25">
      <c r="A3" s="33" t="s">
        <v>290</v>
      </c>
      <c r="B3" s="33" t="s">
        <v>276</v>
      </c>
    </row>
    <row r="4" spans="1:8" x14ac:dyDescent="0.25">
      <c r="A4" s="33" t="s">
        <v>274</v>
      </c>
      <c r="B4" t="s">
        <v>43</v>
      </c>
      <c r="C4" t="s">
        <v>20</v>
      </c>
      <c r="D4" t="s">
        <v>275</v>
      </c>
      <c r="G4" t="s">
        <v>292</v>
      </c>
    </row>
    <row r="5" spans="1:8" x14ac:dyDescent="0.25">
      <c r="A5" s="34">
        <v>1</v>
      </c>
      <c r="B5" s="15">
        <v>1</v>
      </c>
      <c r="C5" s="15">
        <v>12</v>
      </c>
      <c r="D5" s="15">
        <v>13</v>
      </c>
    </row>
    <row r="6" spans="1:8" x14ac:dyDescent="0.25">
      <c r="A6" s="34">
        <v>2</v>
      </c>
      <c r="B6" s="15">
        <v>14</v>
      </c>
      <c r="C6" s="15">
        <v>124</v>
      </c>
      <c r="D6" s="15">
        <v>138</v>
      </c>
      <c r="G6" t="s">
        <v>279</v>
      </c>
      <c r="H6" t="s">
        <v>282</v>
      </c>
    </row>
    <row r="7" spans="1:8" x14ac:dyDescent="0.25">
      <c r="A7" s="34">
        <v>3</v>
      </c>
      <c r="B7" s="15">
        <v>6</v>
      </c>
      <c r="C7" s="15">
        <v>48</v>
      </c>
      <c r="D7" s="15">
        <v>54</v>
      </c>
      <c r="G7" t="s">
        <v>280</v>
      </c>
      <c r="H7" t="s">
        <v>281</v>
      </c>
    </row>
    <row r="8" spans="1:8" x14ac:dyDescent="0.25">
      <c r="A8" s="34" t="s">
        <v>275</v>
      </c>
      <c r="B8" s="15">
        <v>21</v>
      </c>
      <c r="C8" s="15">
        <v>184</v>
      </c>
      <c r="D8" s="15">
        <v>205</v>
      </c>
    </row>
    <row r="14" spans="1:8" x14ac:dyDescent="0.25">
      <c r="A14" s="41" t="s">
        <v>274</v>
      </c>
      <c r="B14" s="41" t="s">
        <v>43</v>
      </c>
      <c r="C14" s="41" t="s">
        <v>20</v>
      </c>
      <c r="D14" s="41" t="s">
        <v>275</v>
      </c>
    </row>
    <row r="15" spans="1:8" x14ac:dyDescent="0.25">
      <c r="A15">
        <v>1</v>
      </c>
      <c r="B15">
        <f>$D$15*B18/$D$18</f>
        <v>1.3317073170731708</v>
      </c>
      <c r="C15">
        <f>$D$15*C18/$D$18</f>
        <v>11.668292682926829</v>
      </c>
      <c r="D15">
        <v>13</v>
      </c>
    </row>
    <row r="16" spans="1:8" x14ac:dyDescent="0.25">
      <c r="A16" s="41">
        <v>2</v>
      </c>
      <c r="B16" s="41">
        <f>D16*B18/D18</f>
        <v>14.136585365853659</v>
      </c>
      <c r="C16" s="41">
        <f>D16*C18/D18</f>
        <v>123.86341463414634</v>
      </c>
      <c r="D16" s="41">
        <v>138</v>
      </c>
    </row>
    <row r="17" spans="1:4" x14ac:dyDescent="0.25">
      <c r="A17">
        <v>3</v>
      </c>
      <c r="B17">
        <f>D17*B18/D18</f>
        <v>5.5317073170731703</v>
      </c>
      <c r="C17">
        <f>D17*C18/D18</f>
        <v>48.46829268292683</v>
      </c>
      <c r="D17">
        <v>54</v>
      </c>
    </row>
    <row r="18" spans="1:4" x14ac:dyDescent="0.25">
      <c r="A18" s="41" t="s">
        <v>275</v>
      </c>
      <c r="B18" s="41">
        <v>21</v>
      </c>
      <c r="C18" s="41">
        <v>184</v>
      </c>
      <c r="D18" s="41">
        <v>205</v>
      </c>
    </row>
    <row r="22" spans="1:4" x14ac:dyDescent="0.25">
      <c r="B22">
        <f>CHITEST(B5:C7,B15:C17)</f>
        <v>0.93347063534844044</v>
      </c>
    </row>
    <row r="23" spans="1:4" x14ac:dyDescent="0.25">
      <c r="A23" t="s">
        <v>284</v>
      </c>
      <c r="B23" t="s">
        <v>291</v>
      </c>
    </row>
    <row r="24" spans="1:4" x14ac:dyDescent="0.25">
      <c r="B24" t="s">
        <v>286</v>
      </c>
    </row>
    <row r="25" spans="1:4" x14ac:dyDescent="0.25">
      <c r="B25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88E4-1591-458F-BFEE-718779B9CE23}">
  <dimension ref="A3:H22"/>
  <sheetViews>
    <sheetView workbookViewId="0">
      <selection activeCell="A19" sqref="A19:E22"/>
    </sheetView>
  </sheetViews>
  <sheetFormatPr defaultRowHeight="13.2" x14ac:dyDescent="0.25"/>
  <cols>
    <col min="1" max="1" width="15.6640625" bestFit="1" customWidth="1"/>
    <col min="2" max="2" width="16.21875" bestFit="1" customWidth="1"/>
    <col min="3" max="3" width="11.44140625" customWidth="1"/>
    <col min="4" max="4" width="8.88671875" customWidth="1"/>
    <col min="5" max="6" width="11.33203125" bestFit="1" customWidth="1"/>
  </cols>
  <sheetData>
    <row r="3" spans="1:8" x14ac:dyDescent="0.25">
      <c r="A3" s="33" t="s">
        <v>277</v>
      </c>
      <c r="B3" s="33" t="s">
        <v>276</v>
      </c>
      <c r="G3" t="s">
        <v>278</v>
      </c>
    </row>
    <row r="4" spans="1:8" x14ac:dyDescent="0.25">
      <c r="A4" s="33" t="s">
        <v>274</v>
      </c>
      <c r="B4">
        <v>1</v>
      </c>
      <c r="C4">
        <v>2</v>
      </c>
      <c r="D4">
        <v>3</v>
      </c>
      <c r="E4" t="s">
        <v>275</v>
      </c>
    </row>
    <row r="5" spans="1:8" x14ac:dyDescent="0.25">
      <c r="A5" s="34" t="s">
        <v>19</v>
      </c>
      <c r="B5" s="15">
        <v>6</v>
      </c>
      <c r="C5" s="15">
        <v>29</v>
      </c>
      <c r="D5" s="15">
        <v>3</v>
      </c>
      <c r="E5" s="15">
        <v>38</v>
      </c>
      <c r="G5" t="s">
        <v>279</v>
      </c>
      <c r="H5" t="s">
        <v>282</v>
      </c>
    </row>
    <row r="6" spans="1:8" x14ac:dyDescent="0.25">
      <c r="A6" s="34" t="s">
        <v>27</v>
      </c>
      <c r="B6" s="15">
        <v>7</v>
      </c>
      <c r="C6" s="15">
        <v>40</v>
      </c>
      <c r="D6" s="15">
        <v>15</v>
      </c>
      <c r="E6" s="15">
        <v>62</v>
      </c>
      <c r="G6" t="s">
        <v>280</v>
      </c>
      <c r="H6" t="s">
        <v>281</v>
      </c>
    </row>
    <row r="7" spans="1:8" x14ac:dyDescent="0.25">
      <c r="A7" s="34" t="s">
        <v>275</v>
      </c>
      <c r="B7" s="15">
        <v>13</v>
      </c>
      <c r="C7" s="15">
        <v>69</v>
      </c>
      <c r="D7" s="15">
        <v>18</v>
      </c>
      <c r="E7" s="15">
        <v>100</v>
      </c>
    </row>
    <row r="12" spans="1:8" x14ac:dyDescent="0.25">
      <c r="A12" s="41" t="s">
        <v>274</v>
      </c>
      <c r="B12" s="41">
        <v>1</v>
      </c>
      <c r="C12" s="41">
        <v>2</v>
      </c>
      <c r="D12" s="41">
        <v>3</v>
      </c>
      <c r="E12" s="41" t="s">
        <v>275</v>
      </c>
    </row>
    <row r="13" spans="1:8" x14ac:dyDescent="0.25">
      <c r="A13" t="s">
        <v>19</v>
      </c>
      <c r="B13">
        <f>E13*B15/E15</f>
        <v>4.9400000000000004</v>
      </c>
      <c r="C13">
        <f>E13*C15/E15</f>
        <v>26.22</v>
      </c>
      <c r="D13">
        <f>E13*D15/E15</f>
        <v>6.84</v>
      </c>
      <c r="E13">
        <v>38</v>
      </c>
    </row>
    <row r="14" spans="1:8" x14ac:dyDescent="0.25">
      <c r="A14" s="41" t="s">
        <v>27</v>
      </c>
      <c r="B14" s="41">
        <f>$E$14*B15/$E$15</f>
        <v>8.06</v>
      </c>
      <c r="C14" s="41">
        <f>$E$14*C15/$E$15</f>
        <v>42.78</v>
      </c>
      <c r="D14" s="41">
        <f>$E$14*D15/$E$15</f>
        <v>11.16</v>
      </c>
      <c r="E14" s="41">
        <v>62</v>
      </c>
    </row>
    <row r="15" spans="1:8" x14ac:dyDescent="0.25">
      <c r="A15" t="s">
        <v>275</v>
      </c>
      <c r="B15">
        <v>13</v>
      </c>
      <c r="C15">
        <v>69</v>
      </c>
      <c r="D15">
        <v>18</v>
      </c>
      <c r="E15">
        <v>100</v>
      </c>
    </row>
    <row r="19" spans="1:2" x14ac:dyDescent="0.25">
      <c r="A19" t="s">
        <v>283</v>
      </c>
      <c r="B19">
        <f>CHITEST(Sheet5!B5:D6,Sheet5!B13:D14)</f>
        <v>0.11536316934744678</v>
      </c>
    </row>
    <row r="20" spans="1:2" x14ac:dyDescent="0.25">
      <c r="A20" t="s">
        <v>284</v>
      </c>
      <c r="B20" t="s">
        <v>285</v>
      </c>
    </row>
    <row r="21" spans="1:2" x14ac:dyDescent="0.25">
      <c r="B21" t="s">
        <v>286</v>
      </c>
    </row>
    <row r="22" spans="1:2" x14ac:dyDescent="0.25">
      <c r="B22" t="s"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4931-DE11-4F02-857E-AED307B32211}">
  <dimension ref="A1:L19"/>
  <sheetViews>
    <sheetView workbookViewId="0">
      <selection activeCell="G19" sqref="G19"/>
    </sheetView>
  </sheetViews>
  <sheetFormatPr defaultRowHeight="13.2" x14ac:dyDescent="0.25"/>
  <cols>
    <col min="1" max="1" width="21.21875" customWidth="1"/>
    <col min="3" max="3" width="24.5546875" customWidth="1"/>
    <col min="7" max="7" width="15.88671875" customWidth="1"/>
    <col min="8" max="8" width="27.33203125" customWidth="1"/>
    <col min="9" max="9" width="24.77734375" customWidth="1"/>
  </cols>
  <sheetData>
    <row r="1" spans="1:12" s="13" customFormat="1" ht="39.6" x14ac:dyDescent="0.25">
      <c r="A1" s="25" t="s">
        <v>10</v>
      </c>
      <c r="B1" s="25"/>
      <c r="C1" s="25" t="s">
        <v>11</v>
      </c>
      <c r="D1" s="25"/>
    </row>
    <row r="2" spans="1:12" x14ac:dyDescent="0.25">
      <c r="A2" s="23"/>
      <c r="B2" s="23"/>
      <c r="C2" s="23"/>
      <c r="D2" s="23"/>
    </row>
    <row r="3" spans="1:12" x14ac:dyDescent="0.25">
      <c r="A3" s="35" t="s">
        <v>237</v>
      </c>
      <c r="B3" s="35">
        <v>3.4</v>
      </c>
      <c r="C3" s="35" t="s">
        <v>237</v>
      </c>
      <c r="D3" s="35">
        <v>3.58</v>
      </c>
      <c r="G3" t="s">
        <v>269</v>
      </c>
    </row>
    <row r="4" spans="1:12" ht="13.8" thickBot="1" x14ac:dyDescent="0.3">
      <c r="A4" s="23" t="s">
        <v>257</v>
      </c>
      <c r="B4" s="23">
        <v>0.19174899417644092</v>
      </c>
      <c r="C4" s="23" t="s">
        <v>257</v>
      </c>
      <c r="D4" s="23">
        <v>0.18704507100123907</v>
      </c>
    </row>
    <row r="5" spans="1:12" ht="39.6" x14ac:dyDescent="0.25">
      <c r="A5" s="23" t="s">
        <v>258</v>
      </c>
      <c r="B5" s="23">
        <v>2</v>
      </c>
      <c r="C5" s="23" t="s">
        <v>258</v>
      </c>
      <c r="D5" s="23">
        <v>4</v>
      </c>
      <c r="E5" s="13"/>
      <c r="F5" s="13"/>
      <c r="G5" s="25"/>
      <c r="H5" s="25" t="s">
        <v>10</v>
      </c>
      <c r="I5" s="25" t="s">
        <v>11</v>
      </c>
      <c r="J5" s="13"/>
      <c r="K5" s="13"/>
      <c r="L5" s="13"/>
    </row>
    <row r="6" spans="1:12" x14ac:dyDescent="0.25">
      <c r="A6" s="23" t="s">
        <v>259</v>
      </c>
      <c r="B6" s="23">
        <v>2</v>
      </c>
      <c r="C6" s="23" t="s">
        <v>259</v>
      </c>
      <c r="D6" s="23">
        <v>2</v>
      </c>
      <c r="G6" s="40" t="s">
        <v>237</v>
      </c>
      <c r="H6" s="40">
        <v>3.4</v>
      </c>
      <c r="I6" s="40">
        <v>3.58</v>
      </c>
    </row>
    <row r="7" spans="1:12" x14ac:dyDescent="0.25">
      <c r="A7" s="35" t="s">
        <v>260</v>
      </c>
      <c r="B7" s="35">
        <v>1.9174899417644091</v>
      </c>
      <c r="C7" s="35" t="s">
        <v>260</v>
      </c>
      <c r="D7" s="35">
        <v>1.8704507100123908</v>
      </c>
      <c r="G7" s="23" t="s">
        <v>238</v>
      </c>
      <c r="H7" s="23">
        <v>3.6767676767676769</v>
      </c>
      <c r="I7" s="23">
        <v>3.4985858585858574</v>
      </c>
    </row>
    <row r="8" spans="1:12" x14ac:dyDescent="0.25">
      <c r="A8" s="23" t="s">
        <v>261</v>
      </c>
      <c r="B8" s="23">
        <v>3.6767676767676769</v>
      </c>
      <c r="C8" s="23" t="s">
        <v>261</v>
      </c>
      <c r="D8" s="23">
        <v>3.4985858585858574</v>
      </c>
      <c r="G8" s="40" t="s">
        <v>239</v>
      </c>
      <c r="H8" s="40">
        <v>100</v>
      </c>
      <c r="I8" s="40">
        <v>100</v>
      </c>
    </row>
    <row r="9" spans="1:12" x14ac:dyDescent="0.25">
      <c r="A9" s="23" t="s">
        <v>262</v>
      </c>
      <c r="B9" s="23">
        <v>2.7037642386190375</v>
      </c>
      <c r="C9" s="23" t="s">
        <v>262</v>
      </c>
      <c r="D9" s="23">
        <v>1.5686327790173595</v>
      </c>
      <c r="G9" s="23" t="s">
        <v>270</v>
      </c>
      <c r="H9" s="23">
        <v>3.5876767676767671</v>
      </c>
      <c r="I9" s="23"/>
    </row>
    <row r="10" spans="1:12" x14ac:dyDescent="0.25">
      <c r="A10" s="23" t="s">
        <v>263</v>
      </c>
      <c r="B10" s="23">
        <v>1.6210360135277802</v>
      </c>
      <c r="C10" s="23" t="s">
        <v>263</v>
      </c>
      <c r="D10" s="23">
        <v>1.2660767384456828</v>
      </c>
      <c r="G10" s="23" t="s">
        <v>241</v>
      </c>
      <c r="H10" s="23">
        <v>0</v>
      </c>
      <c r="I10" s="23"/>
    </row>
    <row r="11" spans="1:12" x14ac:dyDescent="0.25">
      <c r="A11" s="23" t="s">
        <v>264</v>
      </c>
      <c r="B11" s="23">
        <v>8</v>
      </c>
      <c r="C11" s="23" t="s">
        <v>264</v>
      </c>
      <c r="D11" s="23">
        <v>8</v>
      </c>
      <c r="G11" s="40" t="s">
        <v>242</v>
      </c>
      <c r="H11" s="40">
        <v>198</v>
      </c>
      <c r="I11" s="23"/>
    </row>
    <row r="12" spans="1:12" x14ac:dyDescent="0.25">
      <c r="A12" s="23" t="s">
        <v>265</v>
      </c>
      <c r="B12" s="23">
        <v>2</v>
      </c>
      <c r="C12" s="23" t="s">
        <v>265</v>
      </c>
      <c r="D12" s="23">
        <v>2</v>
      </c>
      <c r="G12" s="40" t="s">
        <v>243</v>
      </c>
      <c r="H12" s="40">
        <v>-0.67197149875608042</v>
      </c>
      <c r="I12" s="23"/>
    </row>
    <row r="13" spans="1:12" x14ac:dyDescent="0.25">
      <c r="A13" s="23" t="s">
        <v>266</v>
      </c>
      <c r="B13" s="23">
        <v>10</v>
      </c>
      <c r="C13" s="23" t="s">
        <v>266</v>
      </c>
      <c r="D13" s="23">
        <v>10</v>
      </c>
      <c r="G13" s="40" t="s">
        <v>244</v>
      </c>
      <c r="H13" s="40">
        <v>0.2511925809175144</v>
      </c>
      <c r="I13" s="23"/>
    </row>
    <row r="14" spans="1:12" x14ac:dyDescent="0.25">
      <c r="A14" s="23" t="s">
        <v>267</v>
      </c>
      <c r="B14" s="23">
        <v>340</v>
      </c>
      <c r="C14" s="23" t="s">
        <v>267</v>
      </c>
      <c r="D14" s="23">
        <v>358</v>
      </c>
      <c r="G14" s="23" t="s">
        <v>245</v>
      </c>
      <c r="H14" s="23">
        <v>1.6525857836178461</v>
      </c>
      <c r="I14" s="23"/>
    </row>
    <row r="15" spans="1:12" ht="13.8" thickBot="1" x14ac:dyDescent="0.3">
      <c r="A15" s="36" t="s">
        <v>268</v>
      </c>
      <c r="B15" s="36">
        <v>100</v>
      </c>
      <c r="C15" s="36" t="s">
        <v>268</v>
      </c>
      <c r="D15" s="36">
        <v>100</v>
      </c>
      <c r="G15" s="23" t="s">
        <v>246</v>
      </c>
      <c r="H15" s="23">
        <v>0.50238516183502879</v>
      </c>
      <c r="I15" s="23"/>
    </row>
    <row r="16" spans="1:12" ht="13.8" thickBot="1" x14ac:dyDescent="0.3">
      <c r="G16" s="24" t="s">
        <v>247</v>
      </c>
      <c r="H16" s="24">
        <v>1.9720174778363073</v>
      </c>
      <c r="I16" s="24"/>
    </row>
    <row r="19" spans="7:9" ht="130.80000000000001" customHeight="1" x14ac:dyDescent="0.25">
      <c r="G19" s="13" t="s">
        <v>287</v>
      </c>
      <c r="H19" s="32" t="s">
        <v>288</v>
      </c>
      <c r="I19">
        <f>H12+H13</f>
        <v>-0.42077891783856602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Sheet6</vt:lpstr>
      <vt:lpstr>Form responses 1</vt:lpstr>
      <vt:lpstr>Sheet1</vt:lpstr>
      <vt:lpstr>Sheet2</vt:lpstr>
      <vt:lpstr>Sheet3</vt:lpstr>
      <vt:lpstr>Sheet4</vt:lpstr>
      <vt:lpstr>Sheet5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VARSHA..</dc:creator>
  <cp:lastModifiedBy>Varsha &amp; Sapna</cp:lastModifiedBy>
  <dcterms:created xsi:type="dcterms:W3CDTF">2022-01-08T07:56:11Z</dcterms:created>
  <dcterms:modified xsi:type="dcterms:W3CDTF">2022-01-27T07:12:18Z</dcterms:modified>
</cp:coreProperties>
</file>